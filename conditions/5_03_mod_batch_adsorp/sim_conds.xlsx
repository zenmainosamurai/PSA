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C:\Users\jfe144674\WorkSpace\PJ493_DataAssim_CatalyticReactor\codes_PJ493\05_gas_adsorption_3dim\conditions\5_02_mod_pressure_obs2calc\"/>
    </mc:Choice>
  </mc:AlternateContent>
  <xr:revisionPtr revIDLastSave="0" documentId="13_ncr:1_{0E8AA461-3ABA-4B33-9D99-610F4914E6D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共通" sheetId="1" r:id="rId1"/>
    <sheet name="塔1" sheetId="2" r:id="rId2"/>
    <sheet name="塔2" sheetId="5" r:id="rId3"/>
    <sheet name="塔3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6" l="1"/>
  <c r="P19" i="6"/>
  <c r="L19" i="6"/>
  <c r="L22" i="6" s="1"/>
  <c r="L18" i="6"/>
  <c r="T15" i="6"/>
  <c r="D15" i="6"/>
  <c r="P13" i="6"/>
  <c r="P12" i="6"/>
  <c r="P26" i="6" s="1"/>
  <c r="P27" i="6" s="1"/>
  <c r="L11" i="6"/>
  <c r="P9" i="6"/>
  <c r="L9" i="6"/>
  <c r="L12" i="6" s="1"/>
  <c r="L8" i="6"/>
  <c r="T7" i="6"/>
  <c r="T8" i="6" s="1"/>
  <c r="H7" i="6"/>
  <c r="H15" i="6" s="1"/>
  <c r="D7" i="6"/>
  <c r="D9" i="6" s="1"/>
  <c r="D11" i="6" s="1"/>
  <c r="H6" i="6"/>
  <c r="H8" i="6" s="1"/>
  <c r="D6" i="6"/>
  <c r="L21" i="5"/>
  <c r="L19" i="5"/>
  <c r="L22" i="5" s="1"/>
  <c r="L18" i="5"/>
  <c r="T15" i="5"/>
  <c r="D15" i="5"/>
  <c r="P13" i="5"/>
  <c r="P12" i="5"/>
  <c r="P26" i="5" s="1"/>
  <c r="P27" i="5" s="1"/>
  <c r="L12" i="5"/>
  <c r="L11" i="5"/>
  <c r="P9" i="5"/>
  <c r="L9" i="5"/>
  <c r="L8" i="5"/>
  <c r="T7" i="5"/>
  <c r="T8" i="5" s="1"/>
  <c r="H7" i="5"/>
  <c r="H15" i="5" s="1"/>
  <c r="H6" i="5"/>
  <c r="H8" i="5" s="1"/>
  <c r="D6" i="5"/>
  <c r="D7" i="5" s="1"/>
  <c r="L21" i="2"/>
  <c r="L19" i="2"/>
  <c r="L22" i="2" s="1"/>
  <c r="L18" i="2"/>
  <c r="T15" i="2"/>
  <c r="H15" i="2"/>
  <c r="D15" i="2"/>
  <c r="L11" i="2"/>
  <c r="L12" i="2" s="1"/>
  <c r="P9" i="2"/>
  <c r="P13" i="2" s="1"/>
  <c r="L9" i="2"/>
  <c r="L8" i="2"/>
  <c r="T7" i="2"/>
  <c r="T8" i="2" s="1"/>
  <c r="H7" i="2"/>
  <c r="H6" i="2"/>
  <c r="H9" i="2" s="1"/>
  <c r="H10" i="2" s="1"/>
  <c r="H12" i="2" s="1"/>
  <c r="D6" i="2"/>
  <c r="D7" i="2" s="1"/>
  <c r="H9" i="6" l="1"/>
  <c r="H10" i="6" s="1"/>
  <c r="H12" i="6" s="1"/>
  <c r="D22" i="6"/>
  <c r="T17" i="6" s="1"/>
  <c r="P16" i="6"/>
  <c r="P22" i="6"/>
  <c r="D9" i="5"/>
  <c r="D11" i="5" s="1"/>
  <c r="D22" i="5"/>
  <c r="T17" i="5" s="1"/>
  <c r="H9" i="5"/>
  <c r="H10" i="5" s="1"/>
  <c r="H12" i="5" s="1"/>
  <c r="P19" i="5"/>
  <c r="P16" i="5"/>
  <c r="P22" i="5"/>
  <c r="D9" i="2"/>
  <c r="D11" i="2" s="1"/>
  <c r="D22" i="2"/>
  <c r="T17" i="2" s="1"/>
  <c r="H8" i="2"/>
  <c r="P12" i="2"/>
  <c r="P19" i="2" l="1"/>
  <c r="P16" i="2"/>
  <c r="P26" i="2"/>
  <c r="P27" i="2" s="1"/>
  <c r="P22" i="2"/>
</calcChain>
</file>

<file path=xl/sharedStrings.xml><?xml version="1.0" encoding="utf-8"?>
<sst xmlns="http://schemas.openxmlformats.org/spreadsheetml/2006/main" count="596" uniqueCount="186">
  <si>
    <t>触媒充填層条件</t>
  </si>
  <si>
    <t>容器壁条件</t>
  </si>
  <si>
    <t>上蓋の条件</t>
  </si>
  <si>
    <t>導入ガス条件</t>
  </si>
  <si>
    <t>均圧配管条件</t>
  </si>
  <si>
    <t>充填層直径 [m]</t>
  </si>
  <si>
    <t>Dbed</t>
  </si>
  <si>
    <t>容器直径 [m]</t>
  </si>
  <si>
    <t>Ddrum</t>
  </si>
  <si>
    <t>フランジ径 [mm]</t>
  </si>
  <si>
    <t>Dflange</t>
  </si>
  <si>
    <t>CO2分子量 [g/mol]</t>
  </si>
  <si>
    <t>mw_co2</t>
  </si>
  <si>
    <t>均圧配管の長さ [m]</t>
  </si>
  <si>
    <t>Lpipe</t>
  </si>
  <si>
    <t>充填層半径 [m]</t>
  </si>
  <si>
    <t>Rbed</t>
  </si>
  <si>
    <t>容器半径 [m]</t>
  </si>
  <si>
    <t>Rdrum</t>
  </si>
  <si>
    <t>フランジ厚 [mm]</t>
  </si>
  <si>
    <t>Tflange</t>
  </si>
  <si>
    <t>CO2流量 [L/min]</t>
  </si>
  <si>
    <t>fr_co2</t>
  </si>
  <si>
    <t>均圧配管径 [m]</t>
  </si>
  <si>
    <t>Dpipe</t>
  </si>
  <si>
    <t>充填層断面積 [m2]</t>
  </si>
  <si>
    <t>Sbed</t>
  </si>
  <si>
    <t>容器高さ [m]</t>
  </si>
  <si>
    <t>Ldrum</t>
  </si>
  <si>
    <t>上底フラ内孔径 [mm]</t>
  </si>
  <si>
    <t>PDflange_up</t>
  </si>
  <si>
    <t>N2分子量 [g/mol]</t>
  </si>
  <si>
    <t>mw_n2</t>
  </si>
  <si>
    <t>配管断面積 [m2]</t>
  </si>
  <si>
    <t>Spipe</t>
  </si>
  <si>
    <t>充填層高さ [m]</t>
  </si>
  <si>
    <t>Lbed</t>
  </si>
  <si>
    <t>容器壁厚み [m]</t>
  </si>
  <si>
    <t>Tdrumw</t>
  </si>
  <si>
    <t>上底フラ面積 [m2]</t>
  </si>
  <si>
    <t>Sflange_up</t>
  </si>
  <si>
    <t>N2流量 [L/min]</t>
  </si>
  <si>
    <t>fr_n2</t>
  </si>
  <si>
    <t>配管体積 [m3]</t>
  </si>
  <si>
    <t>Vpipe</t>
  </si>
  <si>
    <t>充填層体積 [m3]</t>
  </si>
  <si>
    <t>Vbed</t>
  </si>
  <si>
    <t>容器壁断面積 [m2]</t>
  </si>
  <si>
    <t>Sdrumw</t>
  </si>
  <si>
    <t>上底フラ体積 [cm3]</t>
  </si>
  <si>
    <t>Vflange_up</t>
  </si>
  <si>
    <t>全流量 [L/min]</t>
  </si>
  <si>
    <t>fr_all</t>
  </si>
  <si>
    <t>流速補正係数 [-]</t>
  </si>
  <si>
    <t>coef_fr</t>
  </si>
  <si>
    <t>充填吸着材量 [g]</t>
  </si>
  <si>
    <t>Mabs</t>
  </si>
  <si>
    <t>容器壁体積 [m3]</t>
  </si>
  <si>
    <t>Vdrumw</t>
  </si>
  <si>
    <t>下底フラ内孔径 [mm]</t>
  </si>
  <si>
    <t>PDflange_dw</t>
  </si>
  <si>
    <t>全圧 [MPaA]</t>
  </si>
  <si>
    <t>total_press</t>
  </si>
  <si>
    <t>上部空間体積 [m3]</t>
  </si>
  <si>
    <t>V_upper_pipe</t>
  </si>
  <si>
    <t>吸着材かさ密度 [g/cm3]</t>
  </si>
  <si>
    <t>rho_abs</t>
  </si>
  <si>
    <t>容器壁密度 [g/cm3]</t>
  </si>
  <si>
    <t>Dense_drumw</t>
  </si>
  <si>
    <t>下底フラ体積 [cm3]</t>
  </si>
  <si>
    <t>Vflange_dw</t>
  </si>
  <si>
    <t>温度 [degC]</t>
  </si>
  <si>
    <t>temp</t>
  </si>
  <si>
    <t>充填層熱伝導率 [W/m/K]</t>
  </si>
  <si>
    <t>lambda_col</t>
  </si>
  <si>
    <t>容器壁総重量 [g]</t>
  </si>
  <si>
    <t>Wdrumw</t>
  </si>
  <si>
    <t>フランジ重量 [g]</t>
  </si>
  <si>
    <t>Mflange</t>
  </si>
  <si>
    <t>CO2分率 [co2]</t>
  </si>
  <si>
    <t>mf_co2</t>
  </si>
  <si>
    <t>真空引き配管条件</t>
  </si>
  <si>
    <t>充填層粒子放射率 [-]</t>
  </si>
  <si>
    <t>epsilon_p</t>
  </si>
  <si>
    <t>容器壁比熱 [J/g/K]</t>
  </si>
  <si>
    <t>sh_drumw</t>
  </si>
  <si>
    <t>CO2分率 [nitrogen]</t>
  </si>
  <si>
    <t>mf_n2</t>
  </si>
  <si>
    <t>真空引き配管長さ [m]</t>
  </si>
  <si>
    <t>充填層粒子比率 [J/g/K]</t>
  </si>
  <si>
    <t>cabs</t>
  </si>
  <si>
    <t>容器壁熱伝導率 [W/m/K]</t>
  </si>
  <si>
    <t>c_drumw</t>
  </si>
  <si>
    <t>下蓋の条件</t>
  </si>
  <si>
    <t>CO2密度 [kg/m3]</t>
  </si>
  <si>
    <t>dense_co2</t>
  </si>
  <si>
    <t>真空引き配管直径 [m]</t>
  </si>
  <si>
    <t>充填層熱容量 [J/K]</t>
  </si>
  <si>
    <t>Cbed</t>
  </si>
  <si>
    <t>容器側面積 [m2]</t>
  </si>
  <si>
    <t>la_drum</t>
  </si>
  <si>
    <t>N2密度 [kg/m3]</t>
  </si>
  <si>
    <t>dense_n2</t>
  </si>
  <si>
    <t>真空引き配管断面積 [m2]</t>
  </si>
  <si>
    <t>平均空隙率 [-]</t>
  </si>
  <si>
    <t>epsilon</t>
  </si>
  <si>
    <t>外気熱伝達係数 [W/m2/K]</t>
  </si>
  <si>
    <t>coef_outair_heat</t>
  </si>
  <si>
    <t>平均密度 [kg/m3]</t>
  </si>
  <si>
    <t>dense_mean</t>
  </si>
  <si>
    <t>真空排気ライン空間体積 [m3]</t>
  </si>
  <si>
    <t>平均粒子径 [m]</t>
  </si>
  <si>
    <t>dp</t>
  </si>
  <si>
    <t>外気温 [℃]</t>
  </si>
  <si>
    <t>temp_outside</t>
  </si>
  <si>
    <t>CO2熱伝導率 [W/m/K]</t>
  </si>
  <si>
    <t>c_co2</t>
  </si>
  <si>
    <t>真空排気空間容積 [m3]</t>
  </si>
  <si>
    <t>Vspace</t>
  </si>
  <si>
    <t>形状補正係数 [-]</t>
  </si>
  <si>
    <t>phi</t>
  </si>
  <si>
    <t>壁-層伝熱係数の補正係数</t>
  </si>
  <si>
    <t>coef_hw1</t>
  </si>
  <si>
    <t>下底フラ面積 [m2]</t>
  </si>
  <si>
    <t>N2熱伝導率 [W/m/K]</t>
  </si>
  <si>
    <t>c_n2</t>
  </si>
  <si>
    <t>到達真空圧力 [kPaA]</t>
  </si>
  <si>
    <t>vacuume_pressure</t>
  </si>
  <si>
    <t>平均熱伝導率 [W/m/K]</t>
  </si>
  <si>
    <t>c_mean</t>
  </si>
  <si>
    <t>熱電対条件</t>
  </si>
  <si>
    <t>吸着移動係数 [1e-6/sec]</t>
  </si>
  <si>
    <t>ks_adsorp</t>
  </si>
  <si>
    <t>CO2粘度 [Pas]</t>
  </si>
  <si>
    <t>vi_co2</t>
  </si>
  <si>
    <t>熱電対比熱 [J/g/K]</t>
  </si>
  <si>
    <t>cp</t>
  </si>
  <si>
    <t>脱着移動係数 [1e-6/sec]</t>
  </si>
  <si>
    <t>ks_desorp</t>
  </si>
  <si>
    <t>N2粘度 [Pas]</t>
  </si>
  <si>
    <t>vi_n2</t>
  </si>
  <si>
    <t>熱電対重量 [g]</t>
  </si>
  <si>
    <t>weight</t>
  </si>
  <si>
    <t>充填層空間体積 [m3]</t>
  </si>
  <si>
    <t>v_space</t>
  </si>
  <si>
    <t>平均粘度 [Pas]</t>
  </si>
  <si>
    <t>vi_mean</t>
  </si>
  <si>
    <t>熱電対伝熱補正係数</t>
  </si>
  <si>
    <t>coef_heat_transfer</t>
  </si>
  <si>
    <t>上流空間体積 [m3]</t>
  </si>
  <si>
    <t>v_upstream</t>
  </si>
  <si>
    <t>エンタルピー [kJ/kg]</t>
  </si>
  <si>
    <t>enthalpy</t>
  </si>
  <si>
    <t>co2比熱</t>
  </si>
  <si>
    <t>cp_co2</t>
  </si>
  <si>
    <t>n2比熱</t>
  </si>
  <si>
    <t>cp_n2</t>
  </si>
  <si>
    <t>平均比熱Cp [kJ/kg/K]</t>
  </si>
  <si>
    <t>cp_mean</t>
  </si>
  <si>
    <t>1h熱容量 [kJ/K/h]</t>
  </si>
  <si>
    <t>C_per_hour</t>
  </si>
  <si>
    <t>CO2吸着熱 [kJ/kg]</t>
  </si>
  <si>
    <t>adsorp_heat_co2</t>
  </si>
  <si>
    <t>N2吸着熱 [kJ/kg]</t>
  </si>
  <si>
    <t>adsorp_heat_n2</t>
  </si>
  <si>
    <t>塔間共通パラメータ</t>
  </si>
  <si>
    <t>計算ステップ [min]</t>
  </si>
  <si>
    <t>dt</t>
  </si>
  <si>
    <t>ストリーム分割数</t>
  </si>
  <si>
    <t>NUM_STR</t>
  </si>
  <si>
    <t>セクション分割数</t>
  </si>
  <si>
    <t>NUM_SEC</t>
  </si>
  <si>
    <t>PACKED_BED_COND</t>
    <phoneticPr fontId="3"/>
  </si>
  <si>
    <t>DRUM_WALL_COND</t>
  </si>
  <si>
    <t>LID_COND (UP)</t>
    <phoneticPr fontId="3"/>
  </si>
  <si>
    <t>LID_COND (DOWN)</t>
    <phoneticPr fontId="3"/>
  </si>
  <si>
    <t>INFLOW_GAS_COND</t>
  </si>
  <si>
    <t>PRESS_EQUAL_PIPE_COND</t>
  </si>
  <si>
    <t>VACUUMING_PIPE_COND</t>
  </si>
  <si>
    <t>THERMOCOUPLE_COND</t>
  </si>
  <si>
    <t>塔３パラメータ</t>
    <phoneticPr fontId="3"/>
  </si>
  <si>
    <t>塔２パラメータ</t>
    <phoneticPr fontId="3"/>
  </si>
  <si>
    <t>塔１パラメータ</t>
    <phoneticPr fontId="3"/>
  </si>
  <si>
    <t>init_adsorp_amt</t>
  </si>
  <si>
    <t>初期吸着量 [cm4/g-abs]</t>
  </si>
  <si>
    <t>v_pipespace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</si>
</sst>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"/>
    <numFmt numFmtId="177" formatCode="#,##0.0000"/>
    <numFmt numFmtId="178" formatCode="#,##0.00000"/>
  </numFmts>
  <fonts count="4" x14ac:knownFonts="1">
    <font>
      <sz val="11"/>
      <color theme="1"/>
      <name val="ＭＳ Ｐゴシック"/>
      <family val="2"/>
      <scheme val="minor"/>
    </font>
    <font>
      <b/>
      <sz val="11"/>
      <color rgb="FF000000"/>
      <name val="游ゴシック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3" fontId="0" fillId="0" borderId="0" xfId="0" applyNumberFormat="1"/>
    <xf numFmtId="4" fontId="0" fillId="0" borderId="0" xfId="0" applyNumberFormat="1"/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4" fontId="2" fillId="4" borderId="2" xfId="0" applyNumberFormat="1" applyFont="1" applyFill="1" applyBorder="1" applyAlignment="1">
      <alignment horizontal="right"/>
    </xf>
    <xf numFmtId="3" fontId="2" fillId="4" borderId="2" xfId="0" applyNumberFormat="1" applyFont="1" applyFill="1" applyBorder="1" applyAlignment="1">
      <alignment horizontal="right"/>
    </xf>
    <xf numFmtId="4" fontId="2" fillId="3" borderId="2" xfId="0" applyNumberFormat="1" applyFont="1" applyFill="1" applyBorder="1" applyAlignment="1">
      <alignment horizontal="right"/>
    </xf>
    <xf numFmtId="3" fontId="2" fillId="3" borderId="2" xfId="0" applyNumberFormat="1" applyFont="1" applyFill="1" applyBorder="1" applyAlignment="1">
      <alignment horizontal="right"/>
    </xf>
    <xf numFmtId="3" fontId="0" fillId="0" borderId="0" xfId="0" applyNumberFormat="1" applyAlignment="1">
      <alignment horizontal="right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4" fontId="2" fillId="2" borderId="5" xfId="0" applyNumberFormat="1" applyFont="1" applyFill="1" applyBorder="1"/>
    <xf numFmtId="0" fontId="2" fillId="3" borderId="6" xfId="0" applyFont="1" applyFill="1" applyBorder="1" applyAlignment="1">
      <alignment horizontal="left"/>
    </xf>
    <xf numFmtId="0" fontId="2" fillId="2" borderId="7" xfId="0" applyFont="1" applyFill="1" applyBorder="1"/>
    <xf numFmtId="3" fontId="2" fillId="2" borderId="5" xfId="0" applyNumberFormat="1" applyFont="1" applyFill="1" applyBorder="1"/>
    <xf numFmtId="176" fontId="2" fillId="4" borderId="2" xfId="0" applyNumberFormat="1" applyFont="1" applyFill="1" applyBorder="1" applyAlignment="1">
      <alignment horizontal="right"/>
    </xf>
    <xf numFmtId="176" fontId="2" fillId="3" borderId="2" xfId="0" applyNumberFormat="1" applyFont="1" applyFill="1" applyBorder="1" applyAlignment="1">
      <alignment horizontal="right"/>
    </xf>
    <xf numFmtId="177" fontId="2" fillId="4" borderId="2" xfId="0" applyNumberFormat="1" applyFont="1" applyFill="1" applyBorder="1" applyAlignment="1">
      <alignment horizontal="right"/>
    </xf>
    <xf numFmtId="178" fontId="2" fillId="3" borderId="2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D8"/>
  <sheetViews>
    <sheetView workbookViewId="0"/>
  </sheetViews>
  <sheetFormatPr defaultRowHeight="13" x14ac:dyDescent="0.2"/>
  <cols>
    <col min="1" max="1" width="2" bestFit="1" customWidth="1"/>
    <col min="2" max="2" width="27" bestFit="1" customWidth="1"/>
    <col min="3" max="3" width="9.7265625" bestFit="1" customWidth="1"/>
    <col min="4" max="4" width="18.26953125" style="11" bestFit="1" customWidth="1"/>
  </cols>
  <sheetData>
    <row r="1" spans="2:4" ht="18.75" customHeight="1" x14ac:dyDescent="0.2"/>
    <row r="2" spans="2:4" ht="24" customHeight="1" x14ac:dyDescent="0.55000000000000004">
      <c r="B2" s="4" t="s">
        <v>165</v>
      </c>
    </row>
    <row r="3" spans="2:4" ht="18.75" customHeight="1" x14ac:dyDescent="0.2"/>
    <row r="4" spans="2:4" ht="18.75" customHeight="1" x14ac:dyDescent="0.2"/>
    <row r="5" spans="2:4" ht="21" customHeight="1" x14ac:dyDescent="0.35">
      <c r="B5" s="23" t="s">
        <v>165</v>
      </c>
      <c r="C5" s="23"/>
      <c r="D5" s="24"/>
    </row>
    <row r="6" spans="2:4" ht="21" customHeight="1" x14ac:dyDescent="0.35">
      <c r="B6" s="5" t="s">
        <v>166</v>
      </c>
      <c r="C6" s="6" t="s">
        <v>167</v>
      </c>
      <c r="D6" s="7">
        <v>0.01</v>
      </c>
    </row>
    <row r="7" spans="2:4" ht="21" customHeight="1" x14ac:dyDescent="0.35">
      <c r="B7" s="5" t="s">
        <v>168</v>
      </c>
      <c r="C7" s="6" t="s">
        <v>169</v>
      </c>
      <c r="D7" s="8">
        <v>2</v>
      </c>
    </row>
    <row r="8" spans="2:4" ht="21.75" customHeight="1" x14ac:dyDescent="0.35">
      <c r="B8" s="5" t="s">
        <v>170</v>
      </c>
      <c r="C8" s="6" t="s">
        <v>171</v>
      </c>
      <c r="D8" s="8">
        <v>20</v>
      </c>
    </row>
  </sheetData>
  <mergeCells count="1">
    <mergeCell ref="B5:D5"/>
  </mergeCells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B1:T29"/>
  <sheetViews>
    <sheetView topLeftCell="A13" workbookViewId="0">
      <selection activeCell="D26" sqref="D26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5.08984375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182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172</v>
      </c>
      <c r="D4" s="14"/>
      <c r="F4" s="12" t="s">
        <v>1</v>
      </c>
      <c r="G4" s="17" t="s">
        <v>173</v>
      </c>
      <c r="H4" s="15"/>
      <c r="J4" s="12" t="s">
        <v>2</v>
      </c>
      <c r="K4" s="17" t="s">
        <v>174</v>
      </c>
      <c r="L4" s="15"/>
      <c r="N4" s="12" t="s">
        <v>3</v>
      </c>
      <c r="O4" s="17" t="s">
        <v>176</v>
      </c>
      <c r="P4" s="15"/>
      <c r="R4" s="12" t="s">
        <v>4</v>
      </c>
      <c r="S4" s="17" t="s">
        <v>177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  <c r="R12" s="12" t="s">
        <v>81</v>
      </c>
      <c r="S12" s="17" t="s">
        <v>178</v>
      </c>
      <c r="T12" s="18"/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5" t="s">
        <v>88</v>
      </c>
      <c r="S13" s="16" t="s">
        <v>14</v>
      </c>
      <c r="T13" s="8">
        <v>2</v>
      </c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175</v>
      </c>
      <c r="L14" s="15"/>
      <c r="N14" s="5" t="s">
        <v>94</v>
      </c>
      <c r="O14" s="6" t="s">
        <v>95</v>
      </c>
      <c r="P14" s="7">
        <v>1.8829980740000001</v>
      </c>
      <c r="R14" s="5" t="s">
        <v>96</v>
      </c>
      <c r="S14" s="6" t="s">
        <v>24</v>
      </c>
      <c r="T14" s="19">
        <v>2.5000000000000001E-2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6" t="s">
        <v>103</v>
      </c>
      <c r="S15" s="6" t="s">
        <v>34</v>
      </c>
      <c r="T15" s="22">
        <f>PI()*T14^2/4</f>
        <v>4.9087385212340522E-4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5" t="s">
        <v>110</v>
      </c>
      <c r="S16" s="6" t="s">
        <v>44</v>
      </c>
      <c r="T16" s="21">
        <v>5.0000000000000001E-4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18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6" t="s">
        <v>117</v>
      </c>
      <c r="S17" s="6" t="s">
        <v>118</v>
      </c>
      <c r="T17" s="20">
        <f>T16+D22</f>
        <v>6.4114706971857196E-3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</row>
    <row r="19" spans="2:20" ht="18.75" customHeight="1" x14ac:dyDescent="0.35">
      <c r="B19" s="5" t="s">
        <v>126</v>
      </c>
      <c r="C19" s="6" t="s">
        <v>127</v>
      </c>
      <c r="D19" s="8">
        <v>5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  <c r="R19" s="12" t="s">
        <v>130</v>
      </c>
      <c r="S19" s="17" t="s">
        <v>179</v>
      </c>
      <c r="T19" s="18"/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5" t="s">
        <v>135</v>
      </c>
      <c r="S20" s="16" t="s">
        <v>136</v>
      </c>
      <c r="T20" s="7">
        <v>0.4</v>
      </c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141</v>
      </c>
      <c r="S21" s="6" t="s">
        <v>142</v>
      </c>
      <c r="T21" s="8">
        <v>1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147</v>
      </c>
      <c r="S22" s="6" t="s">
        <v>148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3.5000000000000003E-2</v>
      </c>
      <c r="N23" s="5" t="s">
        <v>151</v>
      </c>
      <c r="O23" s="6" t="s">
        <v>152</v>
      </c>
      <c r="P23" s="7">
        <v>411.4</v>
      </c>
    </row>
    <row r="24" spans="2:20" ht="18.75" customHeight="1" x14ac:dyDescent="0.35">
      <c r="B24" s="5"/>
      <c r="C24" s="6" t="s">
        <v>185</v>
      </c>
      <c r="D24" s="7">
        <v>0.03</v>
      </c>
      <c r="N24" s="5" t="s">
        <v>153</v>
      </c>
      <c r="O24" s="6" t="s">
        <v>154</v>
      </c>
      <c r="P24" s="7">
        <v>0.84426034000000005</v>
      </c>
    </row>
    <row r="25" spans="2:20" ht="18.75" customHeight="1" x14ac:dyDescent="0.35">
      <c r="B25" s="5" t="s">
        <v>184</v>
      </c>
      <c r="C25" s="6" t="s">
        <v>183</v>
      </c>
      <c r="D25" s="8">
        <v>38</v>
      </c>
      <c r="N25" s="5" t="s">
        <v>155</v>
      </c>
      <c r="O25" s="6" t="s">
        <v>156</v>
      </c>
      <c r="P25" s="7">
        <v>1.0413669560000001</v>
      </c>
    </row>
    <row r="26" spans="2:20" ht="18.75" customHeight="1" x14ac:dyDescent="0.35">
      <c r="N26" s="6" t="s">
        <v>157</v>
      </c>
      <c r="O26" s="6" t="s">
        <v>158</v>
      </c>
      <c r="P26" s="9">
        <f>P24*P12+P25*P13</f>
        <v>0.9546400449600001</v>
      </c>
    </row>
    <row r="27" spans="2:20" ht="18.75" customHeight="1" x14ac:dyDescent="0.35">
      <c r="N27" s="6" t="s">
        <v>159</v>
      </c>
      <c r="O27" s="6" t="s">
        <v>160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161</v>
      </c>
      <c r="O28" s="6" t="s">
        <v>162</v>
      </c>
      <c r="P28" s="8">
        <v>700</v>
      </c>
    </row>
    <row r="29" spans="2:20" ht="18.75" customHeight="1" x14ac:dyDescent="0.35">
      <c r="N29" s="5" t="s">
        <v>163</v>
      </c>
      <c r="O29" s="6" t="s">
        <v>164</v>
      </c>
      <c r="P29" s="7">
        <v>642.9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6AB67-3573-4679-9033-9AB5AB93C6EF}">
  <sheetPr>
    <outlinePr summaryBelow="0"/>
  </sheetPr>
  <dimension ref="B1:T29"/>
  <sheetViews>
    <sheetView topLeftCell="A12" workbookViewId="0">
      <selection activeCell="B23" sqref="B23:D25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1.26953125" bestFit="1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181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172</v>
      </c>
      <c r="D4" s="14"/>
      <c r="F4" s="12" t="s">
        <v>1</v>
      </c>
      <c r="G4" s="17" t="s">
        <v>173</v>
      </c>
      <c r="H4" s="15"/>
      <c r="J4" s="12" t="s">
        <v>2</v>
      </c>
      <c r="K4" s="17" t="s">
        <v>174</v>
      </c>
      <c r="L4" s="15"/>
      <c r="N4" s="12" t="s">
        <v>3</v>
      </c>
      <c r="O4" s="17" t="s">
        <v>176</v>
      </c>
      <c r="P4" s="15"/>
      <c r="R4" s="12" t="s">
        <v>4</v>
      </c>
      <c r="S4" s="17" t="s">
        <v>177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  <c r="R12" s="12" t="s">
        <v>81</v>
      </c>
      <c r="S12" s="17" t="s">
        <v>178</v>
      </c>
      <c r="T12" s="18"/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5" t="s">
        <v>88</v>
      </c>
      <c r="S13" s="16" t="s">
        <v>14</v>
      </c>
      <c r="T13" s="8">
        <v>2</v>
      </c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175</v>
      </c>
      <c r="L14" s="15"/>
      <c r="N14" s="5" t="s">
        <v>94</v>
      </c>
      <c r="O14" s="6" t="s">
        <v>95</v>
      </c>
      <c r="P14" s="7">
        <v>1.8829980740000001</v>
      </c>
      <c r="R14" s="5" t="s">
        <v>96</v>
      </c>
      <c r="S14" s="6" t="s">
        <v>24</v>
      </c>
      <c r="T14" s="19">
        <v>2.5000000000000001E-2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6" t="s">
        <v>103</v>
      </c>
      <c r="S15" s="6" t="s">
        <v>34</v>
      </c>
      <c r="T15" s="9">
        <f>PI()*T14^2/4</f>
        <v>4.9087385212340522E-4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5" t="s">
        <v>110</v>
      </c>
      <c r="S16" s="6" t="s">
        <v>44</v>
      </c>
      <c r="T16" s="21">
        <v>5.0000000000000001E-4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16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6" t="s">
        <v>117</v>
      </c>
      <c r="S17" s="6" t="s">
        <v>118</v>
      </c>
      <c r="T17" s="9">
        <f>T16+D22</f>
        <v>6.4114706971857196E-3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</row>
    <row r="19" spans="2:20" ht="18.75" customHeight="1" x14ac:dyDescent="0.35">
      <c r="B19" s="5" t="s">
        <v>126</v>
      </c>
      <c r="C19" s="6" t="s">
        <v>127</v>
      </c>
      <c r="D19" s="8">
        <v>5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  <c r="R19" s="12" t="s">
        <v>130</v>
      </c>
      <c r="S19" s="17" t="s">
        <v>179</v>
      </c>
      <c r="T19" s="18"/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5" t="s">
        <v>135</v>
      </c>
      <c r="S20" s="16" t="s">
        <v>136</v>
      </c>
      <c r="T20" s="7">
        <v>0.4</v>
      </c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141</v>
      </c>
      <c r="S21" s="6" t="s">
        <v>142</v>
      </c>
      <c r="T21" s="8">
        <v>1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147</v>
      </c>
      <c r="S22" s="6" t="s">
        <v>148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3.5000000000000003E-2</v>
      </c>
      <c r="N23" s="5" t="s">
        <v>151</v>
      </c>
      <c r="O23" s="6" t="s">
        <v>152</v>
      </c>
      <c r="P23" s="7">
        <v>411.4</v>
      </c>
    </row>
    <row r="24" spans="2:20" ht="18.75" customHeight="1" x14ac:dyDescent="0.35">
      <c r="B24" s="5"/>
      <c r="C24" s="6" t="s">
        <v>185</v>
      </c>
      <c r="D24" s="7">
        <v>0.03</v>
      </c>
      <c r="N24" s="5" t="s">
        <v>153</v>
      </c>
      <c r="O24" s="6" t="s">
        <v>154</v>
      </c>
      <c r="P24" s="7">
        <v>0.84426034000000005</v>
      </c>
    </row>
    <row r="25" spans="2:20" ht="18.75" customHeight="1" x14ac:dyDescent="0.35">
      <c r="B25" s="5" t="s">
        <v>184</v>
      </c>
      <c r="C25" s="6" t="s">
        <v>183</v>
      </c>
      <c r="D25" s="8">
        <v>41</v>
      </c>
      <c r="N25" s="5" t="s">
        <v>155</v>
      </c>
      <c r="O25" s="6" t="s">
        <v>156</v>
      </c>
      <c r="P25" s="7">
        <v>1.0413669560000001</v>
      </c>
    </row>
    <row r="26" spans="2:20" ht="18.75" customHeight="1" x14ac:dyDescent="0.35">
      <c r="N26" s="6" t="s">
        <v>157</v>
      </c>
      <c r="O26" s="6" t="s">
        <v>158</v>
      </c>
      <c r="P26" s="9">
        <f>P24*P12+P25*P13</f>
        <v>0.9546400449600001</v>
      </c>
    </row>
    <row r="27" spans="2:20" ht="18.75" customHeight="1" x14ac:dyDescent="0.35">
      <c r="N27" s="6" t="s">
        <v>159</v>
      </c>
      <c r="O27" s="6" t="s">
        <v>160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161</v>
      </c>
      <c r="O28" s="6" t="s">
        <v>162</v>
      </c>
      <c r="P28" s="8">
        <v>700</v>
      </c>
    </row>
    <row r="29" spans="2:20" ht="18.75" customHeight="1" x14ac:dyDescent="0.35">
      <c r="N29" s="5" t="s">
        <v>163</v>
      </c>
      <c r="O29" s="6" t="s">
        <v>164</v>
      </c>
      <c r="P29" s="7">
        <v>642.9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38C5A-F49C-45DB-990B-C32AB0619CDC}">
  <sheetPr>
    <outlinePr summaryBelow="0"/>
  </sheetPr>
  <dimension ref="B1:T29"/>
  <sheetViews>
    <sheetView tabSelected="1" topLeftCell="A13" workbookViewId="0">
      <selection activeCell="D26" sqref="D26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1.26953125" bestFit="1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180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172</v>
      </c>
      <c r="D4" s="14"/>
      <c r="F4" s="12" t="s">
        <v>1</v>
      </c>
      <c r="G4" s="17" t="s">
        <v>173</v>
      </c>
      <c r="H4" s="15"/>
      <c r="J4" s="12" t="s">
        <v>2</v>
      </c>
      <c r="K4" s="17" t="s">
        <v>174</v>
      </c>
      <c r="L4" s="15"/>
      <c r="N4" s="12" t="s">
        <v>3</v>
      </c>
      <c r="O4" s="17" t="s">
        <v>176</v>
      </c>
      <c r="P4" s="15"/>
      <c r="R4" s="12" t="s">
        <v>4</v>
      </c>
      <c r="S4" s="17" t="s">
        <v>177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3.0000000000000001E-3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  <c r="R12" s="12" t="s">
        <v>81</v>
      </c>
      <c r="S12" s="17" t="s">
        <v>178</v>
      </c>
      <c r="T12" s="18"/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5" t="s">
        <v>88</v>
      </c>
      <c r="S13" s="16" t="s">
        <v>14</v>
      </c>
      <c r="T13" s="8">
        <v>2</v>
      </c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175</v>
      </c>
      <c r="L14" s="15"/>
      <c r="N14" s="5" t="s">
        <v>94</v>
      </c>
      <c r="O14" s="6" t="s">
        <v>95</v>
      </c>
      <c r="P14" s="7">
        <v>1.8829980740000001</v>
      </c>
      <c r="R14" s="5" t="s">
        <v>96</v>
      </c>
      <c r="S14" s="6" t="s">
        <v>24</v>
      </c>
      <c r="T14" s="19">
        <v>2.5000000000000001E-2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6" t="s">
        <v>103</v>
      </c>
      <c r="S15" s="6" t="s">
        <v>34</v>
      </c>
      <c r="T15" s="9">
        <f>PI()*T14^2/4</f>
        <v>4.9087385212340522E-4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5" t="s">
        <v>110</v>
      </c>
      <c r="S16" s="6" t="s">
        <v>44</v>
      </c>
      <c r="T16" s="21">
        <v>5.0000000000000001E-4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15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6" t="s">
        <v>117</v>
      </c>
      <c r="S17" s="6" t="s">
        <v>118</v>
      </c>
      <c r="T17" s="9">
        <f>T16+D22</f>
        <v>6.4114706971857196E-3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</row>
    <row r="19" spans="2:20" ht="18.75" customHeight="1" x14ac:dyDescent="0.35">
      <c r="B19" s="5" t="s">
        <v>126</v>
      </c>
      <c r="C19" s="6" t="s">
        <v>127</v>
      </c>
      <c r="D19" s="8">
        <v>6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  <c r="R19" s="12" t="s">
        <v>130</v>
      </c>
      <c r="S19" s="17" t="s">
        <v>179</v>
      </c>
      <c r="T19" s="18"/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5" t="s">
        <v>135</v>
      </c>
      <c r="S20" s="16" t="s">
        <v>136</v>
      </c>
      <c r="T20" s="7">
        <v>0.4</v>
      </c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141</v>
      </c>
      <c r="S21" s="6" t="s">
        <v>142</v>
      </c>
      <c r="T21" s="8">
        <v>1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147</v>
      </c>
      <c r="S22" s="6" t="s">
        <v>148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3.5000000000000003E-2</v>
      </c>
      <c r="N23" s="5" t="s">
        <v>151</v>
      </c>
      <c r="O23" s="6" t="s">
        <v>152</v>
      </c>
      <c r="P23" s="7">
        <v>411.4</v>
      </c>
    </row>
    <row r="24" spans="2:20" ht="18.75" customHeight="1" x14ac:dyDescent="0.35">
      <c r="B24" s="5"/>
      <c r="C24" s="6" t="s">
        <v>185</v>
      </c>
      <c r="D24" s="7">
        <v>0.03</v>
      </c>
      <c r="N24" s="5" t="s">
        <v>153</v>
      </c>
      <c r="O24" s="6" t="s">
        <v>154</v>
      </c>
      <c r="P24" s="7">
        <v>0.84426034000000005</v>
      </c>
    </row>
    <row r="25" spans="2:20" ht="18.75" customHeight="1" x14ac:dyDescent="0.35">
      <c r="B25" s="5" t="s">
        <v>184</v>
      </c>
      <c r="C25" s="6" t="s">
        <v>183</v>
      </c>
      <c r="D25" s="8">
        <v>45</v>
      </c>
      <c r="N25" s="5" t="s">
        <v>155</v>
      </c>
      <c r="O25" s="6" t="s">
        <v>156</v>
      </c>
      <c r="P25" s="7">
        <v>1.0413669560000001</v>
      </c>
    </row>
    <row r="26" spans="2:20" ht="18.75" customHeight="1" x14ac:dyDescent="0.35">
      <c r="N26" s="6" t="s">
        <v>157</v>
      </c>
      <c r="O26" s="6" t="s">
        <v>158</v>
      </c>
      <c r="P26" s="9">
        <f>P24*P12+P25*P13</f>
        <v>0.9546400449600001</v>
      </c>
    </row>
    <row r="27" spans="2:20" ht="18.75" customHeight="1" x14ac:dyDescent="0.35">
      <c r="N27" s="6" t="s">
        <v>159</v>
      </c>
      <c r="O27" s="6" t="s">
        <v>160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161</v>
      </c>
      <c r="O28" s="6" t="s">
        <v>162</v>
      </c>
      <c r="P28" s="8">
        <v>700</v>
      </c>
    </row>
    <row r="29" spans="2:20" ht="18.75" customHeight="1" x14ac:dyDescent="0.35">
      <c r="N29" s="5" t="s">
        <v>163</v>
      </c>
      <c r="O29" s="6" t="s">
        <v>164</v>
      </c>
      <c r="P29" s="7">
        <v>642.9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共通</vt:lpstr>
      <vt:lpstr>塔1</vt:lpstr>
      <vt:lpstr>塔2</vt:lpstr>
      <vt:lpstr>塔3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黒木 琢磨</cp:lastModifiedBy>
  <dcterms:created xsi:type="dcterms:W3CDTF">2025-04-02T23:30:05Z</dcterms:created>
  <dcterms:modified xsi:type="dcterms:W3CDTF">2025-04-10T00:01:55Z</dcterms:modified>
</cp:coreProperties>
</file>