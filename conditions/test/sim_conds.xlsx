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e144674\WorkSpace\PJ493_DataAssim_CatalyticReactor\codes_PJ493\05_gas_adsorption_3dim\conditions\"/>
    </mc:Choice>
  </mc:AlternateContent>
  <xr:revisionPtr revIDLastSave="0" documentId="13_ncr:1_{567A6C4C-3936-4134-8A21-76F51BBCE062}" xr6:coauthVersionLast="47" xr6:coauthVersionMax="47" xr10:uidLastSave="{00000000-0000-0000-0000-000000000000}"/>
  <bookViews>
    <workbookView xWindow="-110" yWindow="-110" windowWidth="19420" windowHeight="10300" xr2:uid="{2EB3FB1F-0DDA-4F24-A050-404ED7733B69}"/>
  </bookViews>
  <sheets>
    <sheet name="共通" sheetId="1" r:id="rId1"/>
    <sheet name="触媒充填層条件" sheetId="2" r:id="rId2"/>
    <sheet name="導入ガス条件" sheetId="6" r:id="rId3"/>
    <sheet name="容器壁条件" sheetId="3" r:id="rId4"/>
    <sheet name="上蓋の条件" sheetId="4" r:id="rId5"/>
    <sheet name="下蓋の条件" sheetId="5" r:id="rId6"/>
    <sheet name="均圧配管条件" sheetId="7" r:id="rId7"/>
    <sheet name="真空引き配管条件" sheetId="8" r:id="rId8"/>
    <sheet name="熱電対条件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3" i="1"/>
  <c r="E2" i="1"/>
  <c r="D4" i="1"/>
  <c r="D3" i="1"/>
  <c r="D2" i="1"/>
  <c r="E6" i="8" l="1"/>
  <c r="D6" i="8"/>
  <c r="C6" i="8"/>
  <c r="E4" i="8"/>
  <c r="D4" i="8"/>
  <c r="C4" i="8"/>
  <c r="E4" i="7"/>
  <c r="E5" i="7" s="1"/>
  <c r="D4" i="7"/>
  <c r="D5" i="7" s="1"/>
  <c r="C4" i="7"/>
  <c r="C5" i="7" s="1"/>
  <c r="E10" i="6"/>
  <c r="E6" i="6"/>
  <c r="E9" i="6" s="1"/>
  <c r="D10" i="6"/>
  <c r="D9" i="6"/>
  <c r="D19" i="6" s="1"/>
  <c r="D6" i="6"/>
  <c r="C6" i="6"/>
  <c r="C9" i="6" s="1"/>
  <c r="E9" i="5"/>
  <c r="D9" i="5"/>
  <c r="C9" i="5"/>
  <c r="E8" i="5"/>
  <c r="E6" i="5"/>
  <c r="E5" i="5"/>
  <c r="D8" i="5"/>
  <c r="D6" i="5"/>
  <c r="D5" i="5"/>
  <c r="C8" i="5"/>
  <c r="C6" i="5"/>
  <c r="C5" i="5"/>
  <c r="E9" i="4"/>
  <c r="D9" i="4"/>
  <c r="C9" i="4"/>
  <c r="E6" i="4"/>
  <c r="E8" i="4"/>
  <c r="E5" i="4"/>
  <c r="D8" i="4"/>
  <c r="D6" i="4"/>
  <c r="D5" i="4"/>
  <c r="C8" i="4"/>
  <c r="C6" i="4"/>
  <c r="C5" i="4"/>
  <c r="E6" i="3"/>
  <c r="E5" i="3"/>
  <c r="E4" i="3"/>
  <c r="E12" i="3" s="1"/>
  <c r="D6" i="3"/>
  <c r="D5" i="3"/>
  <c r="D4" i="3"/>
  <c r="C6" i="3"/>
  <c r="C5" i="3"/>
  <c r="C4" i="3"/>
  <c r="C12" i="3" s="1"/>
  <c r="E3" i="3"/>
  <c r="D12" i="3"/>
  <c r="D3" i="3"/>
  <c r="C3" i="3"/>
  <c r="E12" i="2"/>
  <c r="E3" i="2"/>
  <c r="E4" i="2" s="1"/>
  <c r="D12" i="2"/>
  <c r="D3" i="2"/>
  <c r="D4" i="2" s="1"/>
  <c r="C12" i="2"/>
  <c r="C3" i="2"/>
  <c r="C4" i="2" s="1"/>
  <c r="E19" i="6" l="1"/>
  <c r="E16" i="6"/>
  <c r="E13" i="6"/>
  <c r="E23" i="6"/>
  <c r="E24" i="6" s="1"/>
  <c r="D23" i="6"/>
  <c r="D24" i="6" s="1"/>
  <c r="D13" i="6"/>
  <c r="D16" i="6"/>
  <c r="C10" i="6"/>
  <c r="C23" i="6" s="1"/>
  <c r="C24" i="6" s="1"/>
  <c r="E7" i="3"/>
  <c r="E9" i="3" s="1"/>
  <c r="D7" i="3"/>
  <c r="D9" i="3" s="1"/>
  <c r="C7" i="3"/>
  <c r="C9" i="3" s="1"/>
  <c r="E19" i="2"/>
  <c r="E6" i="2"/>
  <c r="E8" i="2" s="1"/>
  <c r="D19" i="2"/>
  <c r="D6" i="2"/>
  <c r="D8" i="2" s="1"/>
  <c r="C19" i="2"/>
  <c r="C6" i="2"/>
  <c r="C8" i="2" s="1"/>
  <c r="C16" i="6" l="1"/>
  <c r="C19" i="6"/>
  <c r="C13" i="6"/>
</calcChain>
</file>

<file path=xl/sharedStrings.xml><?xml version="1.0" encoding="utf-8"?>
<sst xmlns="http://schemas.openxmlformats.org/spreadsheetml/2006/main" count="231" uniqueCount="181">
  <si>
    <t>計算ステップ [min]</t>
  </si>
  <si>
    <t>dt</t>
  </si>
  <si>
    <t>ストリーム分割数</t>
  </si>
  <si>
    <t>NUM_STR</t>
  </si>
  <si>
    <t>セクション分割数</t>
  </si>
  <si>
    <t>NUM_SEC</t>
  </si>
  <si>
    <t>触媒充填層条件</t>
  </si>
  <si>
    <t>充填層直径 [m]</t>
  </si>
  <si>
    <t>Dbed</t>
  </si>
  <si>
    <t>充填層半径 [m]</t>
  </si>
  <si>
    <t>Rbed</t>
  </si>
  <si>
    <t>充填層断面積 [m2]</t>
  </si>
  <si>
    <t>Sbed</t>
  </si>
  <si>
    <t>充填層高さ [m]</t>
  </si>
  <si>
    <t>Lbed</t>
  </si>
  <si>
    <t>充填層体積 [m3]</t>
  </si>
  <si>
    <t>Vbed</t>
  </si>
  <si>
    <t>充填吸着材量 [g]</t>
  </si>
  <si>
    <t>Mabs</t>
  </si>
  <si>
    <t>吸着材かさ密度 [g/cm3]</t>
  </si>
  <si>
    <t>rho_abs</t>
  </si>
  <si>
    <t>充填層熱伝導率 [W/m/K]</t>
  </si>
  <si>
    <t>lambda_col</t>
  </si>
  <si>
    <t>充填層粒子放射率 [-]</t>
  </si>
  <si>
    <t>epsilon_p</t>
  </si>
  <si>
    <t>充填層粒子比率 [J/g/K]</t>
  </si>
  <si>
    <t>cabs</t>
  </si>
  <si>
    <t>充填層熱容量 [J/K]</t>
  </si>
  <si>
    <t>Cbed</t>
  </si>
  <si>
    <t>平均空隙率 [-]</t>
  </si>
  <si>
    <t>epsilon</t>
  </si>
  <si>
    <t>平均粒子径 [m]</t>
  </si>
  <si>
    <t>dp</t>
  </si>
  <si>
    <t>形状補正係数 [-]</t>
  </si>
  <si>
    <t>phi</t>
  </si>
  <si>
    <t>到達真空圧力 [kPaA]</t>
  </si>
  <si>
    <t>vacuume_pressure</t>
  </si>
  <si>
    <t>吸着移動係数 [1e-6/sec]</t>
  </si>
  <si>
    <t>ks_adsorp</t>
  </si>
  <si>
    <t>脱着移動係数 [1e-6/sec]</t>
  </si>
  <si>
    <t>ks_desorp</t>
  </si>
  <si>
    <t>充填層空間体積 [m3]</t>
  </si>
  <si>
    <t>v_space</t>
  </si>
  <si>
    <t>上流空間体積 [m3]</t>
  </si>
  <si>
    <t>v_upstream</t>
  </si>
  <si>
    <t>初期吸着量 [cm4/g-abs]</t>
  </si>
  <si>
    <t>init_adsorp_amt</t>
  </si>
  <si>
    <t>v_pipespace</t>
    <phoneticPr fontId="3"/>
  </si>
  <si>
    <t>塔1</t>
    <rPh sb="0" eb="1">
      <t>トウ</t>
    </rPh>
    <phoneticPr fontId="2"/>
  </si>
  <si>
    <t>塔2</t>
    <rPh sb="0" eb="1">
      <t>トウ</t>
    </rPh>
    <phoneticPr fontId="2"/>
  </si>
  <si>
    <t>塔3</t>
    <rPh sb="0" eb="1">
      <t>トウ</t>
    </rPh>
    <phoneticPr fontId="2"/>
  </si>
  <si>
    <t>容器壁条件</t>
  </si>
  <si>
    <t>容器直径 [m]</t>
  </si>
  <si>
    <t>Ddrum</t>
  </si>
  <si>
    <t>容器半径 [m]</t>
  </si>
  <si>
    <t>Rdrum</t>
  </si>
  <si>
    <t>容器高さ [m]</t>
  </si>
  <si>
    <t>Ldrum</t>
  </si>
  <si>
    <t>容器壁厚み [m]</t>
  </si>
  <si>
    <t>Tdrumw</t>
  </si>
  <si>
    <t>容器壁断面積 [m2]</t>
  </si>
  <si>
    <t>Sdrumw</t>
  </si>
  <si>
    <t>容器壁体積 [m3]</t>
  </si>
  <si>
    <t>Vdrumw</t>
  </si>
  <si>
    <t>容器壁密度 [g/cm3]</t>
  </si>
  <si>
    <t>Dense_drumw</t>
  </si>
  <si>
    <t>容器壁総重量 [g]</t>
  </si>
  <si>
    <t>Wdrumw</t>
  </si>
  <si>
    <t>容器壁比熱 [J/g/K]</t>
  </si>
  <si>
    <t>sh_drumw</t>
  </si>
  <si>
    <t>容器壁熱伝導率 [W/m/K]</t>
  </si>
  <si>
    <t>c_drumw</t>
  </si>
  <si>
    <t>容器側面積 [m2]</t>
  </si>
  <si>
    <t>la_drum</t>
  </si>
  <si>
    <t>外気熱伝達係数 [W/m2/K]</t>
  </si>
  <si>
    <t>coef_outair_heat</t>
  </si>
  <si>
    <t>外気温 [℃]</t>
  </si>
  <si>
    <t>temp_outside</t>
  </si>
  <si>
    <t>壁-層伝熱係数の補正係数</t>
  </si>
  <si>
    <t>coef_hw1</t>
  </si>
  <si>
    <t>上蓋の条件</t>
  </si>
  <si>
    <t>フランジ径 [mm]</t>
  </si>
  <si>
    <t>Dflange</t>
  </si>
  <si>
    <t>フランジ厚 [mm]</t>
  </si>
  <si>
    <t>Tflange</t>
  </si>
  <si>
    <t>上底フラ内孔径 [mm]</t>
  </si>
  <si>
    <t>PDflange_up</t>
  </si>
  <si>
    <t>上底フラ面積 [m2]</t>
  </si>
  <si>
    <t>Sflange_up</t>
  </si>
  <si>
    <t>上底フラ体積 [cm3]</t>
  </si>
  <si>
    <t>Vflange_up</t>
  </si>
  <si>
    <t>下底フラ内孔径 [mm]</t>
  </si>
  <si>
    <t>PDflange_dw</t>
  </si>
  <si>
    <t>下底フラ体積 [cm3]</t>
  </si>
  <si>
    <t>Vflange_dw</t>
  </si>
  <si>
    <t>フランジ重量 [g]</t>
  </si>
  <si>
    <t>Mflange</t>
  </si>
  <si>
    <t>下蓋の条件</t>
  </si>
  <si>
    <t>下底フラ面積 [m2]</t>
  </si>
  <si>
    <t>導入ガス条件</t>
  </si>
  <si>
    <t>CO2分子量 [g/mol]</t>
  </si>
  <si>
    <t>mw_co2</t>
  </si>
  <si>
    <t>CO2流量 [L/min]</t>
  </si>
  <si>
    <t>fr_co2</t>
  </si>
  <si>
    <t>N2分子量 [g/mol]</t>
  </si>
  <si>
    <t>mw_n2</t>
  </si>
  <si>
    <t>N2流量 [L/min]</t>
  </si>
  <si>
    <t>fr_n2</t>
  </si>
  <si>
    <t>全流量 [L/min]</t>
  </si>
  <si>
    <t>fr_all</t>
  </si>
  <si>
    <t>全圧 [MPaA]</t>
  </si>
  <si>
    <t>total_press</t>
  </si>
  <si>
    <t>温度 [degC]</t>
  </si>
  <si>
    <t>temp</t>
  </si>
  <si>
    <t>CO2分率 [co2]</t>
  </si>
  <si>
    <t>mf_co2</t>
  </si>
  <si>
    <t>CO2分率 [nitrogen]</t>
  </si>
  <si>
    <t>mf_n2</t>
  </si>
  <si>
    <t>CO2密度 [kg/m3]</t>
  </si>
  <si>
    <t>dense_co2</t>
  </si>
  <si>
    <t>N2密度 [kg/m3]</t>
  </si>
  <si>
    <t>dense_n2</t>
  </si>
  <si>
    <t>平均密度 [kg/m3]</t>
  </si>
  <si>
    <t>dense_mean</t>
  </si>
  <si>
    <t>CO2熱伝導率 [W/m/K]</t>
  </si>
  <si>
    <t>c_co2</t>
  </si>
  <si>
    <t>N2熱伝導率 [W/m/K]</t>
  </si>
  <si>
    <t>c_n2</t>
  </si>
  <si>
    <t>平均熱伝導率 [W/m/K]</t>
  </si>
  <si>
    <t>c_mean</t>
  </si>
  <si>
    <t>CO2粘度 [Pas]</t>
  </si>
  <si>
    <t>vi_co2</t>
  </si>
  <si>
    <t>N2粘度 [Pas]</t>
  </si>
  <si>
    <t>vi_n2</t>
  </si>
  <si>
    <t>平均粘度 [Pas]</t>
  </si>
  <si>
    <t>vi_mean</t>
  </si>
  <si>
    <t>エンタルピー [kJ/kg]</t>
  </si>
  <si>
    <t>enthalpy</t>
  </si>
  <si>
    <t>co2比熱</t>
  </si>
  <si>
    <t>cp_co2</t>
  </si>
  <si>
    <t>n2比熱</t>
  </si>
  <si>
    <t>cp_n2</t>
  </si>
  <si>
    <t>平均比熱Cp [kJ/kg/K]</t>
  </si>
  <si>
    <t>cp_mean</t>
  </si>
  <si>
    <t>1h熱容量 [kJ/K/h]</t>
  </si>
  <si>
    <t>C_per_hour</t>
  </si>
  <si>
    <t>CO2吸着熱 [kJ/kg]</t>
  </si>
  <si>
    <t>adsorp_heat_co2</t>
  </si>
  <si>
    <t>N2吸着熱 [kJ/kg]</t>
  </si>
  <si>
    <t>adsorp_heat_n2</t>
  </si>
  <si>
    <t>均圧配管条件</t>
  </si>
  <si>
    <t>均圧配管の長さ [m]</t>
  </si>
  <si>
    <t>Lpipe</t>
  </si>
  <si>
    <t>均圧配管径 [m]</t>
  </si>
  <si>
    <t>Dpipe</t>
  </si>
  <si>
    <t>配管断面積 [m2]</t>
  </si>
  <si>
    <t>Spipe</t>
  </si>
  <si>
    <t>配管体積 [m3]</t>
  </si>
  <si>
    <t>Vpipe</t>
  </si>
  <si>
    <t>流速補正係数 [-]</t>
  </si>
  <si>
    <t>coef_fr</t>
  </si>
  <si>
    <t>上部空間体積 [m3]</t>
  </si>
  <si>
    <t>V_upper_pipe</t>
  </si>
  <si>
    <t>V_equalpipespace</t>
    <phoneticPr fontId="3"/>
  </si>
  <si>
    <t>真空引き配管条件</t>
  </si>
  <si>
    <t>真空引き配管長さ [m]</t>
  </si>
  <si>
    <t>真空引き配管直径 [m]</t>
  </si>
  <si>
    <t>真空引き配管断面積 [m2]</t>
  </si>
  <si>
    <t>真空排気ライン空間体積 [m3]</t>
  </si>
  <si>
    <t>真空排気空間容積 [m3]</t>
  </si>
  <si>
    <t>Vspace</t>
  </si>
  <si>
    <t>熱電対条件</t>
  </si>
  <si>
    <t>熱電対比熱 [J/g/K]</t>
  </si>
  <si>
    <t>cp</t>
  </si>
  <si>
    <t>熱電対重量 [g]</t>
  </si>
  <si>
    <t>weight</t>
  </si>
  <si>
    <t>熱電対伝熱補正係数</t>
  </si>
  <si>
    <t>coef_heat_transfer</t>
  </si>
  <si>
    <t>変数名</t>
    <rPh sb="0" eb="3">
      <t>ヘンスウメイ</t>
    </rPh>
    <phoneticPr fontId="3"/>
  </si>
  <si>
    <t>変数名</t>
    <rPh sb="0" eb="3">
      <t>ヘンスウメイ</t>
    </rPh>
    <phoneticPr fontId="2"/>
  </si>
  <si>
    <t>共通パラメータ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</si>
</sst>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"/>
    <numFmt numFmtId="181" formatCode="#,##0.0000"/>
    <numFmt numFmtId="182" formatCode="#,##0.00000"/>
    <numFmt numFmtId="184" formatCode="#,##0.000000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D9F2D0"/>
      </patternFill>
    </fill>
    <fill>
      <patternFill patternType="solid">
        <fgColor rgb="FFD9D9D9"/>
      </patternFill>
    </fill>
    <fill>
      <patternFill patternType="solid">
        <fgColor rgb="FFFBFE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4" fontId="1" fillId="4" borderId="1" xfId="0" applyNumberFormat="1" applyFont="1" applyFill="1" applyBorder="1" applyAlignment="1">
      <alignment horizontal="right"/>
    </xf>
    <xf numFmtId="3" fontId="1" fillId="4" borderId="1" xfId="0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" fontId="4" fillId="4" borderId="1" xfId="0" applyNumberFormat="1" applyFont="1" applyFill="1" applyBorder="1" applyAlignment="1">
      <alignment horizontal="right"/>
    </xf>
    <xf numFmtId="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176" fontId="4" fillId="4" borderId="1" xfId="0" applyNumberFormat="1" applyFont="1" applyFill="1" applyBorder="1" applyAlignment="1">
      <alignment horizontal="right"/>
    </xf>
    <xf numFmtId="4" fontId="4" fillId="4" borderId="3" xfId="0" applyNumberFormat="1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0" borderId="3" xfId="0" applyFont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5" fillId="2" borderId="4" xfId="0" applyFont="1" applyFill="1" applyBorder="1" applyAlignment="1"/>
    <xf numFmtId="0" fontId="4" fillId="2" borderId="4" xfId="0" applyFont="1" applyFill="1" applyBorder="1" applyAlignment="1"/>
    <xf numFmtId="0" fontId="4" fillId="5" borderId="4" xfId="0" applyFont="1" applyFill="1" applyBorder="1" applyAlignment="1"/>
    <xf numFmtId="0" fontId="0" fillId="5" borderId="4" xfId="0" applyFill="1" applyBorder="1">
      <alignment vertical="center"/>
    </xf>
    <xf numFmtId="0" fontId="5" fillId="5" borderId="4" xfId="0" applyFont="1" applyFill="1" applyBorder="1" applyAlignment="1"/>
    <xf numFmtId="0" fontId="4" fillId="5" borderId="4" xfId="0" applyFont="1" applyFill="1" applyBorder="1">
      <alignment vertical="center"/>
    </xf>
    <xf numFmtId="176" fontId="4" fillId="3" borderId="1" xfId="0" applyNumberFormat="1" applyFont="1" applyFill="1" applyBorder="1" applyAlignment="1">
      <alignment horizontal="right"/>
    </xf>
    <xf numFmtId="3" fontId="4" fillId="4" borderId="3" xfId="0" applyNumberFormat="1" applyFont="1" applyFill="1" applyBorder="1" applyAlignment="1">
      <alignment horizontal="right"/>
    </xf>
    <xf numFmtId="0" fontId="4" fillId="0" borderId="0" xfId="0" applyFont="1">
      <alignment vertical="center"/>
    </xf>
    <xf numFmtId="181" fontId="4" fillId="3" borderId="1" xfId="0" applyNumberFormat="1" applyFont="1" applyFill="1" applyBorder="1" applyAlignment="1">
      <alignment horizontal="right"/>
    </xf>
    <xf numFmtId="182" fontId="4" fillId="3" borderId="1" xfId="0" applyNumberFormat="1" applyFont="1" applyFill="1" applyBorder="1" applyAlignment="1">
      <alignment horizontal="right"/>
    </xf>
    <xf numFmtId="181" fontId="4" fillId="4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/>
    <xf numFmtId="0" fontId="1" fillId="2" borderId="1" xfId="0" applyFont="1" applyFill="1" applyBorder="1" applyAlignment="1"/>
    <xf numFmtId="184" fontId="4" fillId="4" borderId="1" xfId="0" applyNumberFormat="1" applyFont="1" applyFill="1" applyBorder="1" applyAlignment="1">
      <alignment horizontal="right"/>
    </xf>
    <xf numFmtId="184" fontId="4" fillId="3" borderId="1" xfId="0" applyNumberFormat="1" applyFont="1" applyFill="1" applyBorder="1" applyAlignment="1">
      <alignment horizontal="right"/>
    </xf>
    <xf numFmtId="4" fontId="1" fillId="6" borderId="1" xfId="0" applyNumberFormat="1" applyFont="1" applyFill="1" applyBorder="1" applyAlignment="1">
      <alignment horizontal="right"/>
    </xf>
    <xf numFmtId="3" fontId="1" fillId="6" borderId="1" xfId="0" applyNumberFormat="1" applyFont="1" applyFill="1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2110F-81EA-4DE9-8164-CCA712454EAB}">
  <dimension ref="A1:E4"/>
  <sheetViews>
    <sheetView tabSelected="1" workbookViewId="0">
      <selection activeCell="C2" sqref="C2"/>
    </sheetView>
  </sheetViews>
  <sheetFormatPr defaultRowHeight="18" x14ac:dyDescent="0.55000000000000004"/>
  <cols>
    <col min="1" max="1" width="26.4140625" customWidth="1"/>
    <col min="2" max="2" width="16.5" customWidth="1"/>
  </cols>
  <sheetData>
    <row r="1" spans="1:5" x14ac:dyDescent="0.55000000000000004">
      <c r="A1" s="28" t="s">
        <v>180</v>
      </c>
      <c r="B1" s="29" t="s">
        <v>179</v>
      </c>
      <c r="C1" s="18" t="s">
        <v>48</v>
      </c>
      <c r="D1" s="19" t="s">
        <v>49</v>
      </c>
      <c r="E1" s="19" t="s">
        <v>50</v>
      </c>
    </row>
    <row r="2" spans="1:5" x14ac:dyDescent="0.55000000000000004">
      <c r="A2" s="1" t="s">
        <v>0</v>
      </c>
      <c r="B2" s="2" t="s">
        <v>1</v>
      </c>
      <c r="C2" s="3">
        <v>0.01</v>
      </c>
      <c r="D2" s="32">
        <f>C2</f>
        <v>0.01</v>
      </c>
      <c r="E2" s="32">
        <f>C2</f>
        <v>0.01</v>
      </c>
    </row>
    <row r="3" spans="1:5" x14ac:dyDescent="0.55000000000000004">
      <c r="A3" s="1" t="s">
        <v>2</v>
      </c>
      <c r="B3" s="2" t="s">
        <v>3</v>
      </c>
      <c r="C3" s="4">
        <v>2</v>
      </c>
      <c r="D3" s="33">
        <f>C3</f>
        <v>2</v>
      </c>
      <c r="E3" s="33">
        <f>C3</f>
        <v>2</v>
      </c>
    </row>
    <row r="4" spans="1:5" x14ac:dyDescent="0.55000000000000004">
      <c r="A4" s="1" t="s">
        <v>4</v>
      </c>
      <c r="B4" s="2" t="s">
        <v>5</v>
      </c>
      <c r="C4" s="4">
        <v>20</v>
      </c>
      <c r="D4" s="33">
        <f>C4</f>
        <v>20</v>
      </c>
      <c r="E4" s="33">
        <f>C4</f>
        <v>20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8B63D-4600-4803-A7A4-1A6E34BCFA6A}">
  <dimension ref="A1:E22"/>
  <sheetViews>
    <sheetView workbookViewId="0">
      <selection activeCell="C1" sqref="C1:E1"/>
    </sheetView>
  </sheetViews>
  <sheetFormatPr defaultRowHeight="18" x14ac:dyDescent="0.55000000000000004"/>
  <cols>
    <col min="1" max="1" width="29.25" customWidth="1"/>
    <col min="2" max="2" width="9.9140625" customWidth="1"/>
    <col min="3" max="3" width="15" customWidth="1"/>
  </cols>
  <sheetData>
    <row r="1" spans="1:5" x14ac:dyDescent="0.55000000000000004">
      <c r="A1" s="16" t="s">
        <v>6</v>
      </c>
      <c r="B1" s="17" t="s">
        <v>178</v>
      </c>
      <c r="C1" s="18" t="s">
        <v>48</v>
      </c>
      <c r="D1" s="19" t="s">
        <v>49</v>
      </c>
      <c r="E1" s="19" t="s">
        <v>50</v>
      </c>
    </row>
    <row r="2" spans="1:5" x14ac:dyDescent="0.55000000000000004">
      <c r="A2" s="14" t="s">
        <v>7</v>
      </c>
      <c r="B2" s="15" t="s">
        <v>8</v>
      </c>
      <c r="C2" s="12">
        <v>0.1552</v>
      </c>
      <c r="D2" s="12">
        <v>0.1552</v>
      </c>
      <c r="E2" s="12">
        <v>0.1552</v>
      </c>
    </row>
    <row r="3" spans="1:5" x14ac:dyDescent="0.55000000000000004">
      <c r="A3" s="6" t="s">
        <v>9</v>
      </c>
      <c r="B3" s="6" t="s">
        <v>10</v>
      </c>
      <c r="C3" s="8">
        <f>C2/2</f>
        <v>7.7600000000000002E-2</v>
      </c>
      <c r="D3" s="8">
        <f>D2/2</f>
        <v>7.7600000000000002E-2</v>
      </c>
      <c r="E3" s="8">
        <f>E2/2</f>
        <v>7.7600000000000002E-2</v>
      </c>
    </row>
    <row r="4" spans="1:5" x14ac:dyDescent="0.55000000000000004">
      <c r="A4" s="6" t="s">
        <v>11</v>
      </c>
      <c r="B4" s="6" t="s">
        <v>12</v>
      </c>
      <c r="C4" s="8">
        <f>PI()*C3^2</f>
        <v>1.8917916977680874E-2</v>
      </c>
      <c r="D4" s="8">
        <f>PI()*D3^2</f>
        <v>1.8917916977680874E-2</v>
      </c>
      <c r="E4" s="8">
        <f>PI()*E3^2</f>
        <v>1.8917916977680874E-2</v>
      </c>
    </row>
    <row r="5" spans="1:5" x14ac:dyDescent="0.55000000000000004">
      <c r="A5" s="5" t="s">
        <v>13</v>
      </c>
      <c r="B5" s="6" t="s">
        <v>14</v>
      </c>
      <c r="C5" s="7">
        <v>0.86799999999999999</v>
      </c>
      <c r="D5" s="7">
        <v>0.86799999999999999</v>
      </c>
      <c r="E5" s="7">
        <v>0.86799999999999999</v>
      </c>
    </row>
    <row r="6" spans="1:5" x14ac:dyDescent="0.55000000000000004">
      <c r="A6" s="6" t="s">
        <v>15</v>
      </c>
      <c r="B6" s="6" t="s">
        <v>16</v>
      </c>
      <c r="C6" s="8">
        <f>C4*C5</f>
        <v>1.6420751936626999E-2</v>
      </c>
      <c r="D6" s="8">
        <f>D4*D5</f>
        <v>1.6420751936626999E-2</v>
      </c>
      <c r="E6" s="8">
        <f>E4*E5</f>
        <v>1.6420751936626999E-2</v>
      </c>
    </row>
    <row r="7" spans="1:5" x14ac:dyDescent="0.55000000000000004">
      <c r="A7" s="5" t="s">
        <v>17</v>
      </c>
      <c r="B7" s="6" t="s">
        <v>18</v>
      </c>
      <c r="C7" s="9">
        <v>10800</v>
      </c>
      <c r="D7" s="9">
        <v>10800</v>
      </c>
      <c r="E7" s="9">
        <v>10800</v>
      </c>
    </row>
    <row r="8" spans="1:5" x14ac:dyDescent="0.55000000000000004">
      <c r="A8" s="6" t="s">
        <v>19</v>
      </c>
      <c r="B8" s="6" t="s">
        <v>20</v>
      </c>
      <c r="C8" s="8">
        <f>C7/C6/1000000</f>
        <v>0.65770435127944804</v>
      </c>
      <c r="D8" s="8">
        <f>D7/D6/1000000</f>
        <v>0.65770435127944804</v>
      </c>
      <c r="E8" s="8">
        <f>E7/E6/1000000</f>
        <v>0.65770435127944804</v>
      </c>
    </row>
    <row r="9" spans="1:5" x14ac:dyDescent="0.55000000000000004">
      <c r="A9" s="5" t="s">
        <v>21</v>
      </c>
      <c r="B9" s="6" t="s">
        <v>22</v>
      </c>
      <c r="C9" s="7">
        <v>1.135</v>
      </c>
      <c r="D9" s="7">
        <v>1.135</v>
      </c>
      <c r="E9" s="7">
        <v>1.135</v>
      </c>
    </row>
    <row r="10" spans="1:5" x14ac:dyDescent="0.55000000000000004">
      <c r="A10" s="5" t="s">
        <v>23</v>
      </c>
      <c r="B10" s="6" t="s">
        <v>24</v>
      </c>
      <c r="C10" s="7">
        <v>0.3</v>
      </c>
      <c r="D10" s="7">
        <v>0.3</v>
      </c>
      <c r="E10" s="7">
        <v>0.3</v>
      </c>
    </row>
    <row r="11" spans="1:5" x14ac:dyDescent="0.55000000000000004">
      <c r="A11" s="5" t="s">
        <v>25</v>
      </c>
      <c r="B11" s="6" t="s">
        <v>26</v>
      </c>
      <c r="C11" s="7">
        <v>0.8</v>
      </c>
      <c r="D11" s="7">
        <v>0.8</v>
      </c>
      <c r="E11" s="7">
        <v>0.8</v>
      </c>
    </row>
    <row r="12" spans="1:5" x14ac:dyDescent="0.55000000000000004">
      <c r="A12" s="6" t="s">
        <v>27</v>
      </c>
      <c r="B12" s="6" t="s">
        <v>28</v>
      </c>
      <c r="C12" s="10">
        <f>C11*C7</f>
        <v>8640</v>
      </c>
      <c r="D12" s="10">
        <f>D11*D7</f>
        <v>8640</v>
      </c>
      <c r="E12" s="10">
        <f>E11*E7</f>
        <v>8640</v>
      </c>
    </row>
    <row r="13" spans="1:5" x14ac:dyDescent="0.55000000000000004">
      <c r="A13" s="5" t="s">
        <v>29</v>
      </c>
      <c r="B13" s="6" t="s">
        <v>30</v>
      </c>
      <c r="C13" s="7">
        <v>0.36</v>
      </c>
      <c r="D13" s="7">
        <v>0.36</v>
      </c>
      <c r="E13" s="7">
        <v>0.36</v>
      </c>
    </row>
    <row r="14" spans="1:5" x14ac:dyDescent="0.55000000000000004">
      <c r="A14" s="5" t="s">
        <v>31</v>
      </c>
      <c r="B14" s="6" t="s">
        <v>32</v>
      </c>
      <c r="C14" s="11">
        <v>1E-3</v>
      </c>
      <c r="D14" s="11">
        <v>1E-3</v>
      </c>
      <c r="E14" s="11">
        <v>1E-3</v>
      </c>
    </row>
    <row r="15" spans="1:5" x14ac:dyDescent="0.55000000000000004">
      <c r="A15" s="5" t="s">
        <v>33</v>
      </c>
      <c r="B15" s="6" t="s">
        <v>34</v>
      </c>
      <c r="C15" s="9">
        <v>1</v>
      </c>
      <c r="D15" s="9">
        <v>1</v>
      </c>
      <c r="E15" s="9">
        <v>1</v>
      </c>
    </row>
    <row r="16" spans="1:5" x14ac:dyDescent="0.55000000000000004">
      <c r="A16" s="5" t="s">
        <v>35</v>
      </c>
      <c r="B16" s="6" t="s">
        <v>36</v>
      </c>
      <c r="C16" s="9">
        <v>4</v>
      </c>
      <c r="D16" s="9">
        <v>4</v>
      </c>
      <c r="E16" s="9">
        <v>4</v>
      </c>
    </row>
    <row r="17" spans="1:5" x14ac:dyDescent="0.55000000000000004">
      <c r="A17" s="5" t="s">
        <v>37</v>
      </c>
      <c r="B17" s="6" t="s">
        <v>38</v>
      </c>
      <c r="C17" s="7">
        <v>3.5</v>
      </c>
      <c r="D17" s="7">
        <v>3.5</v>
      </c>
      <c r="E17" s="7">
        <v>3.5</v>
      </c>
    </row>
    <row r="18" spans="1:5" x14ac:dyDescent="0.55000000000000004">
      <c r="A18" s="5" t="s">
        <v>39</v>
      </c>
      <c r="B18" s="6" t="s">
        <v>40</v>
      </c>
      <c r="C18" s="7">
        <v>0.65</v>
      </c>
      <c r="D18" s="7">
        <v>0.65</v>
      </c>
      <c r="E18" s="7">
        <v>0.65</v>
      </c>
    </row>
    <row r="19" spans="1:5" x14ac:dyDescent="0.55000000000000004">
      <c r="A19" s="5" t="s">
        <v>41</v>
      </c>
      <c r="B19" s="6" t="s">
        <v>42</v>
      </c>
      <c r="C19" s="8">
        <f>C4*C5*C13</f>
        <v>5.9114706971857191E-3</v>
      </c>
      <c r="D19" s="8">
        <f>D4*D5*D13</f>
        <v>5.9114706971857191E-3</v>
      </c>
      <c r="E19" s="8">
        <f>E4*E5*E13</f>
        <v>5.9114706971857191E-3</v>
      </c>
    </row>
    <row r="20" spans="1:5" x14ac:dyDescent="0.55000000000000004">
      <c r="A20" s="5" t="s">
        <v>43</v>
      </c>
      <c r="B20" s="6" t="s">
        <v>44</v>
      </c>
      <c r="C20" s="11">
        <v>7.0000000000000007E-2</v>
      </c>
      <c r="D20" s="11">
        <v>7.0000000000000007E-2</v>
      </c>
      <c r="E20" s="11">
        <v>7.0000000000000007E-2</v>
      </c>
    </row>
    <row r="21" spans="1:5" x14ac:dyDescent="0.55000000000000004">
      <c r="A21" s="5"/>
      <c r="B21" s="6" t="s">
        <v>47</v>
      </c>
      <c r="C21" s="11">
        <v>5.0000000000000001E-3</v>
      </c>
      <c r="D21" s="11">
        <v>5.0000000000000001E-3</v>
      </c>
      <c r="E21" s="11">
        <v>5.0000000000000001E-3</v>
      </c>
    </row>
    <row r="22" spans="1:5" x14ac:dyDescent="0.55000000000000004">
      <c r="A22" s="5" t="s">
        <v>45</v>
      </c>
      <c r="B22" s="6" t="s">
        <v>46</v>
      </c>
      <c r="C22" s="9">
        <v>38</v>
      </c>
      <c r="D22" s="9">
        <v>38</v>
      </c>
      <c r="E22" s="9">
        <v>30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81195-D60F-4C12-928E-0E507A54491E}">
  <dimension ref="A1:E26"/>
  <sheetViews>
    <sheetView topLeftCell="A16" workbookViewId="0">
      <selection activeCell="C18" sqref="C18"/>
    </sheetView>
  </sheetViews>
  <sheetFormatPr defaultRowHeight="18" x14ac:dyDescent="0.55000000000000004"/>
  <cols>
    <col min="1" max="1" width="26.08203125" customWidth="1"/>
    <col min="2" max="2" width="16.9140625" customWidth="1"/>
    <col min="3" max="3" width="13" customWidth="1"/>
    <col min="4" max="4" width="12.1640625" customWidth="1"/>
    <col min="5" max="5" width="12.08203125" customWidth="1"/>
  </cols>
  <sheetData>
    <row r="1" spans="1:5" x14ac:dyDescent="0.55000000000000004">
      <c r="A1" s="13" t="s">
        <v>99</v>
      </c>
      <c r="B1" s="29" t="s">
        <v>179</v>
      </c>
      <c r="C1" s="18" t="s">
        <v>48</v>
      </c>
      <c r="D1" s="21" t="s">
        <v>49</v>
      </c>
      <c r="E1" s="21" t="s">
        <v>50</v>
      </c>
    </row>
    <row r="2" spans="1:5" x14ac:dyDescent="0.55000000000000004">
      <c r="A2" s="5" t="s">
        <v>100</v>
      </c>
      <c r="B2" s="15" t="s">
        <v>101</v>
      </c>
      <c r="C2" s="9">
        <v>44</v>
      </c>
      <c r="D2" s="9">
        <v>44</v>
      </c>
      <c r="E2" s="9">
        <v>44</v>
      </c>
    </row>
    <row r="3" spans="1:5" x14ac:dyDescent="0.55000000000000004">
      <c r="A3" s="5" t="s">
        <v>102</v>
      </c>
      <c r="B3" s="6" t="s">
        <v>103</v>
      </c>
      <c r="C3" s="9">
        <v>22</v>
      </c>
      <c r="D3" s="9">
        <v>22</v>
      </c>
      <c r="E3" s="9">
        <v>22</v>
      </c>
    </row>
    <row r="4" spans="1:5" x14ac:dyDescent="0.55000000000000004">
      <c r="A4" s="5" t="s">
        <v>104</v>
      </c>
      <c r="B4" s="6" t="s">
        <v>105</v>
      </c>
      <c r="C4" s="9">
        <v>28</v>
      </c>
      <c r="D4" s="9">
        <v>28</v>
      </c>
      <c r="E4" s="9">
        <v>28</v>
      </c>
    </row>
    <row r="5" spans="1:5" x14ac:dyDescent="0.55000000000000004">
      <c r="A5" s="5" t="s">
        <v>106</v>
      </c>
      <c r="B5" s="6" t="s">
        <v>107</v>
      </c>
      <c r="C5" s="9">
        <v>28</v>
      </c>
      <c r="D5" s="9">
        <v>28</v>
      </c>
      <c r="E5" s="9">
        <v>28</v>
      </c>
    </row>
    <row r="6" spans="1:5" x14ac:dyDescent="0.55000000000000004">
      <c r="A6" s="6" t="s">
        <v>108</v>
      </c>
      <c r="B6" s="6" t="s">
        <v>109</v>
      </c>
      <c r="C6" s="10">
        <f>C3+C5</f>
        <v>50</v>
      </c>
      <c r="D6" s="10">
        <f>D3+D5</f>
        <v>50</v>
      </c>
      <c r="E6" s="10">
        <f>E3+E5</f>
        <v>50</v>
      </c>
    </row>
    <row r="7" spans="1:5" x14ac:dyDescent="0.55000000000000004">
      <c r="A7" s="5" t="s">
        <v>110</v>
      </c>
      <c r="B7" s="6" t="s">
        <v>111</v>
      </c>
      <c r="C7" s="7">
        <v>0.1</v>
      </c>
      <c r="D7" s="7">
        <v>0.1</v>
      </c>
      <c r="E7" s="7">
        <v>0.1</v>
      </c>
    </row>
    <row r="8" spans="1:5" x14ac:dyDescent="0.55000000000000004">
      <c r="A8" s="5" t="s">
        <v>112</v>
      </c>
      <c r="B8" s="6" t="s">
        <v>113</v>
      </c>
      <c r="C8" s="9">
        <v>18</v>
      </c>
      <c r="D8" s="9">
        <v>18</v>
      </c>
      <c r="E8" s="9">
        <v>18</v>
      </c>
    </row>
    <row r="9" spans="1:5" x14ac:dyDescent="0.55000000000000004">
      <c r="A9" s="6" t="s">
        <v>114</v>
      </c>
      <c r="B9" s="6" t="s">
        <v>115</v>
      </c>
      <c r="C9" s="8">
        <f>C3/C6</f>
        <v>0.44</v>
      </c>
      <c r="D9" s="8">
        <f>D3/D6</f>
        <v>0.44</v>
      </c>
      <c r="E9" s="8">
        <f>E3/E6</f>
        <v>0.44</v>
      </c>
    </row>
    <row r="10" spans="1:5" x14ac:dyDescent="0.55000000000000004">
      <c r="A10" s="6" t="s">
        <v>116</v>
      </c>
      <c r="B10" s="6" t="s">
        <v>117</v>
      </c>
      <c r="C10" s="8">
        <f>C5/C6</f>
        <v>0.56000000000000005</v>
      </c>
      <c r="D10" s="8">
        <f>D5/D6</f>
        <v>0.56000000000000005</v>
      </c>
      <c r="E10" s="8">
        <f>E5/E6</f>
        <v>0.56000000000000005</v>
      </c>
    </row>
    <row r="11" spans="1:5" x14ac:dyDescent="0.55000000000000004">
      <c r="A11" s="5" t="s">
        <v>118</v>
      </c>
      <c r="B11" s="6" t="s">
        <v>119</v>
      </c>
      <c r="C11" s="7">
        <v>1.8829980740000001</v>
      </c>
      <c r="D11" s="7">
        <v>1.8829980740000001</v>
      </c>
      <c r="E11" s="7">
        <v>1.8829980740000001</v>
      </c>
    </row>
    <row r="12" spans="1:5" x14ac:dyDescent="0.55000000000000004">
      <c r="A12" s="5" t="s">
        <v>120</v>
      </c>
      <c r="B12" s="6" t="s">
        <v>121</v>
      </c>
      <c r="C12" s="7">
        <v>1.1922472150000001</v>
      </c>
      <c r="D12" s="7">
        <v>1.1922472150000001</v>
      </c>
      <c r="E12" s="7">
        <v>1.1922472150000001</v>
      </c>
    </row>
    <row r="13" spans="1:5" x14ac:dyDescent="0.55000000000000004">
      <c r="A13" s="6" t="s">
        <v>122</v>
      </c>
      <c r="B13" s="6" t="s">
        <v>123</v>
      </c>
      <c r="C13" s="8">
        <f>C11*C9+C12*C10</f>
        <v>1.4961775929600001</v>
      </c>
      <c r="D13" s="8">
        <f>D11*D9+D12*D10</f>
        <v>1.4961775929600001</v>
      </c>
      <c r="E13" s="8">
        <f>E11*E9+E12*E10</f>
        <v>1.4961775929600001</v>
      </c>
    </row>
    <row r="14" spans="1:5" x14ac:dyDescent="0.55000000000000004">
      <c r="A14" s="5" t="s">
        <v>124</v>
      </c>
      <c r="B14" s="6" t="s">
        <v>125</v>
      </c>
      <c r="C14" s="7">
        <v>1.6083291999999999E-2</v>
      </c>
      <c r="D14" s="7">
        <v>1.6083291999999999E-2</v>
      </c>
      <c r="E14" s="7">
        <v>1.6083291999999999E-2</v>
      </c>
    </row>
    <row r="15" spans="1:5" x14ac:dyDescent="0.55000000000000004">
      <c r="A15" s="5" t="s">
        <v>126</v>
      </c>
      <c r="B15" s="6" t="s">
        <v>127</v>
      </c>
      <c r="C15" s="7">
        <v>2.5327674000000001E-2</v>
      </c>
      <c r="D15" s="7">
        <v>2.5327674000000001E-2</v>
      </c>
      <c r="E15" s="7">
        <v>2.5327674000000001E-2</v>
      </c>
    </row>
    <row r="16" spans="1:5" x14ac:dyDescent="0.55000000000000004">
      <c r="A16" s="6" t="s">
        <v>128</v>
      </c>
      <c r="B16" s="6" t="s">
        <v>129</v>
      </c>
      <c r="C16" s="8">
        <f>C14*C9+C15*C10</f>
        <v>2.1260145920000001E-2</v>
      </c>
      <c r="D16" s="8">
        <f>D14*D9+D15*D10</f>
        <v>2.1260145920000001E-2</v>
      </c>
      <c r="E16" s="8">
        <f>E14*E9+E15*E10</f>
        <v>2.1260145920000001E-2</v>
      </c>
    </row>
    <row r="17" spans="1:5" x14ac:dyDescent="0.55000000000000004">
      <c r="A17" s="5" t="s">
        <v>130</v>
      </c>
      <c r="B17" s="6" t="s">
        <v>131</v>
      </c>
      <c r="C17" s="30">
        <v>1.4600000000000001E-5</v>
      </c>
      <c r="D17" s="30">
        <v>1.4600000000000001E-5</v>
      </c>
      <c r="E17" s="30">
        <v>1.4600000000000001E-5</v>
      </c>
    </row>
    <row r="18" spans="1:5" x14ac:dyDescent="0.55000000000000004">
      <c r="A18" s="5" t="s">
        <v>132</v>
      </c>
      <c r="B18" s="6" t="s">
        <v>133</v>
      </c>
      <c r="C18" s="30">
        <v>1.7499999999999998E-5</v>
      </c>
      <c r="D18" s="30">
        <v>1.7499999999999998E-5</v>
      </c>
      <c r="E18" s="30">
        <v>1.7499999999999998E-5</v>
      </c>
    </row>
    <row r="19" spans="1:5" x14ac:dyDescent="0.55000000000000004">
      <c r="A19" s="6" t="s">
        <v>134</v>
      </c>
      <c r="B19" s="6" t="s">
        <v>135</v>
      </c>
      <c r="C19" s="31">
        <f>C17*C9+C18*C10</f>
        <v>1.6223999999999999E-5</v>
      </c>
      <c r="D19" s="31">
        <f>D17*D9+D18*D10</f>
        <v>1.6223999999999999E-5</v>
      </c>
      <c r="E19" s="31">
        <f>E17*E9+E18*E10</f>
        <v>1.6223999999999999E-5</v>
      </c>
    </row>
    <row r="20" spans="1:5" x14ac:dyDescent="0.55000000000000004">
      <c r="A20" s="5" t="s">
        <v>136</v>
      </c>
      <c r="B20" s="6" t="s">
        <v>137</v>
      </c>
      <c r="C20" s="7">
        <v>411.4</v>
      </c>
      <c r="D20" s="7">
        <v>411.4</v>
      </c>
      <c r="E20" s="7">
        <v>411.4</v>
      </c>
    </row>
    <row r="21" spans="1:5" x14ac:dyDescent="0.55000000000000004">
      <c r="A21" s="5" t="s">
        <v>138</v>
      </c>
      <c r="B21" s="6" t="s">
        <v>139</v>
      </c>
      <c r="C21" s="7">
        <v>0.84426034000000005</v>
      </c>
      <c r="D21" s="7">
        <v>0.84426034000000005</v>
      </c>
      <c r="E21" s="7">
        <v>0.84426034000000005</v>
      </c>
    </row>
    <row r="22" spans="1:5" x14ac:dyDescent="0.55000000000000004">
      <c r="A22" s="5" t="s">
        <v>140</v>
      </c>
      <c r="B22" s="6" t="s">
        <v>141</v>
      </c>
      <c r="C22" s="7">
        <v>1.0413669560000001</v>
      </c>
      <c r="D22" s="7">
        <v>1.0413669560000001</v>
      </c>
      <c r="E22" s="7">
        <v>1.0413669560000001</v>
      </c>
    </row>
    <row r="23" spans="1:5" x14ac:dyDescent="0.55000000000000004">
      <c r="A23" s="6" t="s">
        <v>142</v>
      </c>
      <c r="B23" s="6" t="s">
        <v>143</v>
      </c>
      <c r="C23" s="8">
        <f>C21*C9+C22*C10</f>
        <v>0.9546400449600001</v>
      </c>
      <c r="D23" s="8">
        <f>D21*D9+D22*D10</f>
        <v>0.9546400449600001</v>
      </c>
      <c r="E23" s="8">
        <f>E21*E9+E22*E10</f>
        <v>0.9546400449600001</v>
      </c>
    </row>
    <row r="24" spans="1:5" x14ac:dyDescent="0.55000000000000004">
      <c r="A24" s="6" t="s">
        <v>144</v>
      </c>
      <c r="B24" s="6" t="s">
        <v>145</v>
      </c>
      <c r="C24" s="8">
        <f>C23*(C3/22.4*C2*60/1000 + C5/22.4*C4*60/1000)</f>
        <v>4.4799893538480005</v>
      </c>
      <c r="D24" s="8">
        <f>D23*(D3/22.4*D2*60/1000 + D5/22.4*D4*60/1000)</f>
        <v>4.4799893538480005</v>
      </c>
      <c r="E24" s="8">
        <f>E23*(E3/22.4*E2*60/1000 + E5/22.4*E4*60/1000)</f>
        <v>4.4799893538480005</v>
      </c>
    </row>
    <row r="25" spans="1:5" x14ac:dyDescent="0.55000000000000004">
      <c r="A25" s="5" t="s">
        <v>146</v>
      </c>
      <c r="B25" s="6" t="s">
        <v>147</v>
      </c>
      <c r="C25" s="9">
        <v>700</v>
      </c>
      <c r="D25" s="9">
        <v>700</v>
      </c>
      <c r="E25" s="9">
        <v>700</v>
      </c>
    </row>
    <row r="26" spans="1:5" x14ac:dyDescent="0.55000000000000004">
      <c r="A26" s="5" t="s">
        <v>148</v>
      </c>
      <c r="B26" s="6" t="s">
        <v>149</v>
      </c>
      <c r="C26" s="7">
        <v>642.9</v>
      </c>
      <c r="D26" s="7">
        <v>642.9</v>
      </c>
      <c r="E26" s="7">
        <v>642.9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6AD49-B511-4397-97A0-8EA6F6518A6E}">
  <dimension ref="A1:E15"/>
  <sheetViews>
    <sheetView workbookViewId="0">
      <selection activeCell="B1" sqref="B1"/>
    </sheetView>
  </sheetViews>
  <sheetFormatPr defaultRowHeight="18" x14ac:dyDescent="0.55000000000000004"/>
  <cols>
    <col min="1" max="1" width="27.25" customWidth="1"/>
    <col min="2" max="2" width="17" customWidth="1"/>
    <col min="3" max="3" width="17.33203125" customWidth="1"/>
    <col min="4" max="4" width="15" customWidth="1"/>
    <col min="5" max="5" width="17" customWidth="1"/>
  </cols>
  <sheetData>
    <row r="1" spans="1:5" x14ac:dyDescent="0.55000000000000004">
      <c r="A1" s="20" t="s">
        <v>51</v>
      </c>
      <c r="B1" s="17" t="s">
        <v>178</v>
      </c>
      <c r="C1" s="18" t="s">
        <v>48</v>
      </c>
      <c r="D1" s="19" t="s">
        <v>49</v>
      </c>
      <c r="E1" s="19" t="s">
        <v>50</v>
      </c>
    </row>
    <row r="2" spans="1:5" x14ac:dyDescent="0.55000000000000004">
      <c r="A2" s="14" t="s">
        <v>52</v>
      </c>
      <c r="B2" s="15" t="s">
        <v>53</v>
      </c>
      <c r="C2" s="12">
        <v>0.16520000000000001</v>
      </c>
      <c r="D2" s="12">
        <v>0.16520000000000001</v>
      </c>
      <c r="E2" s="12">
        <v>0.16520000000000001</v>
      </c>
    </row>
    <row r="3" spans="1:5" x14ac:dyDescent="0.55000000000000004">
      <c r="A3" s="6" t="s">
        <v>54</v>
      </c>
      <c r="B3" s="6" t="s">
        <v>55</v>
      </c>
      <c r="C3" s="8">
        <f>C2/2</f>
        <v>8.2600000000000007E-2</v>
      </c>
      <c r="D3" s="8">
        <f>D2/2</f>
        <v>8.2600000000000007E-2</v>
      </c>
      <c r="E3" s="8">
        <f>E2/2</f>
        <v>8.2600000000000007E-2</v>
      </c>
    </row>
    <row r="4" spans="1:5" x14ac:dyDescent="0.55000000000000004">
      <c r="A4" s="6" t="s">
        <v>56</v>
      </c>
      <c r="B4" s="6" t="s">
        <v>57</v>
      </c>
      <c r="C4" s="8">
        <f>触媒充填層条件!C5</f>
        <v>0.86799999999999999</v>
      </c>
      <c r="D4" s="8">
        <f>触媒充填層条件!D5</f>
        <v>0.86799999999999999</v>
      </c>
      <c r="E4" s="8">
        <f>触媒充填層条件!E5</f>
        <v>0.86799999999999999</v>
      </c>
    </row>
    <row r="5" spans="1:5" x14ac:dyDescent="0.55000000000000004">
      <c r="A5" s="6" t="s">
        <v>58</v>
      </c>
      <c r="B5" s="6" t="s">
        <v>59</v>
      </c>
      <c r="C5" s="8">
        <f>C3-触媒充填層条件!C3</f>
        <v>5.0000000000000044E-3</v>
      </c>
      <c r="D5" s="8">
        <f>D3-触媒充填層条件!D3</f>
        <v>5.0000000000000044E-3</v>
      </c>
      <c r="E5" s="8">
        <f>E3-触媒充填層条件!E3</f>
        <v>5.0000000000000044E-3</v>
      </c>
    </row>
    <row r="6" spans="1:5" x14ac:dyDescent="0.55000000000000004">
      <c r="A6" s="6" t="s">
        <v>60</v>
      </c>
      <c r="B6" s="6" t="s">
        <v>61</v>
      </c>
      <c r="C6" s="22">
        <f>PI()*(C3^2-触媒充填層条件!C3^2)</f>
        <v>2.5164157155254285E-3</v>
      </c>
      <c r="D6" s="22">
        <f>PI()*(D3^2-触媒充填層条件!D3^2)</f>
        <v>2.5164157155254285E-3</v>
      </c>
      <c r="E6" s="22">
        <f>PI()*(E3^2-触媒充填層条件!E3^2)</f>
        <v>2.5164157155254285E-3</v>
      </c>
    </row>
    <row r="7" spans="1:5" x14ac:dyDescent="0.55000000000000004">
      <c r="A7" s="6" t="s">
        <v>62</v>
      </c>
      <c r="B7" s="6" t="s">
        <v>63</v>
      </c>
      <c r="C7" s="22">
        <f>C6*C4</f>
        <v>2.1842488410760718E-3</v>
      </c>
      <c r="D7" s="22">
        <f>D6*D4</f>
        <v>2.1842488410760718E-3</v>
      </c>
      <c r="E7" s="22">
        <f>E6*E4</f>
        <v>2.1842488410760718E-3</v>
      </c>
    </row>
    <row r="8" spans="1:5" x14ac:dyDescent="0.55000000000000004">
      <c r="A8" s="5" t="s">
        <v>64</v>
      </c>
      <c r="B8" s="6" t="s">
        <v>65</v>
      </c>
      <c r="C8" s="7">
        <v>7.93</v>
      </c>
      <c r="D8" s="7">
        <v>7.93</v>
      </c>
      <c r="E8" s="7">
        <v>7.93</v>
      </c>
    </row>
    <row r="9" spans="1:5" x14ac:dyDescent="0.55000000000000004">
      <c r="A9" s="6" t="s">
        <v>66</v>
      </c>
      <c r="B9" s="6" t="s">
        <v>67</v>
      </c>
      <c r="C9" s="8">
        <f>C8*C7*1000000</f>
        <v>17321.093309733249</v>
      </c>
      <c r="D9" s="8">
        <f>D8*D7*1000000</f>
        <v>17321.093309733249</v>
      </c>
      <c r="E9" s="8">
        <f>E8*E7*1000000</f>
        <v>17321.093309733249</v>
      </c>
    </row>
    <row r="10" spans="1:5" x14ac:dyDescent="0.55000000000000004">
      <c r="A10" s="5" t="s">
        <v>68</v>
      </c>
      <c r="B10" s="6" t="s">
        <v>69</v>
      </c>
      <c r="C10" s="7">
        <v>0.59</v>
      </c>
      <c r="D10" s="7">
        <v>0.59</v>
      </c>
      <c r="E10" s="7">
        <v>0.59</v>
      </c>
    </row>
    <row r="11" spans="1:5" x14ac:dyDescent="0.55000000000000004">
      <c r="A11" s="5" t="s">
        <v>70</v>
      </c>
      <c r="B11" s="6" t="s">
        <v>71</v>
      </c>
      <c r="C11" s="7">
        <v>16.7</v>
      </c>
      <c r="D11" s="7">
        <v>16.7</v>
      </c>
      <c r="E11" s="7">
        <v>16.7</v>
      </c>
    </row>
    <row r="12" spans="1:5" x14ac:dyDescent="0.55000000000000004">
      <c r="A12" s="6" t="s">
        <v>72</v>
      </c>
      <c r="B12" s="6" t="s">
        <v>73</v>
      </c>
      <c r="C12" s="8">
        <f>PI()*C2*C4</f>
        <v>0.45048428033179344</v>
      </c>
      <c r="D12" s="8">
        <f>PI()*D2*D4</f>
        <v>0.45048428033179344</v>
      </c>
      <c r="E12" s="8">
        <f>PI()*E2*E4</f>
        <v>0.45048428033179344</v>
      </c>
    </row>
    <row r="13" spans="1:5" x14ac:dyDescent="0.55000000000000004">
      <c r="A13" s="5" t="s">
        <v>74</v>
      </c>
      <c r="B13" s="6" t="s">
        <v>75</v>
      </c>
      <c r="C13" s="9">
        <v>200</v>
      </c>
      <c r="D13" s="9">
        <v>200</v>
      </c>
      <c r="E13" s="9">
        <v>200</v>
      </c>
    </row>
    <row r="14" spans="1:5" x14ac:dyDescent="0.55000000000000004">
      <c r="A14" s="5" t="s">
        <v>76</v>
      </c>
      <c r="B14" s="6" t="s">
        <v>77</v>
      </c>
      <c r="C14" s="9">
        <v>18</v>
      </c>
      <c r="D14" s="9">
        <v>16</v>
      </c>
      <c r="E14" s="9">
        <v>15</v>
      </c>
    </row>
    <row r="15" spans="1:5" x14ac:dyDescent="0.55000000000000004">
      <c r="A15" s="5" t="s">
        <v>78</v>
      </c>
      <c r="B15" s="6" t="s">
        <v>79</v>
      </c>
      <c r="C15" s="7">
        <v>0.19</v>
      </c>
      <c r="D15" s="7">
        <v>0.19</v>
      </c>
      <c r="E15" s="7">
        <v>0.19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57E4-EFDB-4E4A-A56C-DDF32DD3A043}">
  <dimension ref="A1:E9"/>
  <sheetViews>
    <sheetView workbookViewId="0">
      <selection activeCell="B1" sqref="B1"/>
    </sheetView>
  </sheetViews>
  <sheetFormatPr defaultRowHeight="18" x14ac:dyDescent="0.55000000000000004"/>
  <cols>
    <col min="1" max="1" width="22.08203125" customWidth="1"/>
    <col min="2" max="2" width="15.4140625" customWidth="1"/>
    <col min="3" max="3" width="13.9140625" customWidth="1"/>
    <col min="4" max="4" width="11.25" customWidth="1"/>
    <col min="5" max="5" width="12.33203125" customWidth="1"/>
  </cols>
  <sheetData>
    <row r="1" spans="1:5" x14ac:dyDescent="0.55000000000000004">
      <c r="A1" s="16" t="s">
        <v>80</v>
      </c>
      <c r="B1" s="29" t="s">
        <v>179</v>
      </c>
      <c r="C1" s="18" t="s">
        <v>48</v>
      </c>
      <c r="D1" s="19" t="s">
        <v>49</v>
      </c>
      <c r="E1" s="19" t="s">
        <v>50</v>
      </c>
    </row>
    <row r="2" spans="1:5" x14ac:dyDescent="0.55000000000000004">
      <c r="A2" s="14" t="s">
        <v>81</v>
      </c>
      <c r="B2" s="15" t="s">
        <v>82</v>
      </c>
      <c r="C2" s="23">
        <v>280</v>
      </c>
      <c r="D2" s="23">
        <v>280</v>
      </c>
      <c r="E2" s="23">
        <v>280</v>
      </c>
    </row>
    <row r="3" spans="1:5" x14ac:dyDescent="0.55000000000000004">
      <c r="A3" s="5" t="s">
        <v>83</v>
      </c>
      <c r="B3" s="6" t="s">
        <v>84</v>
      </c>
      <c r="C3" s="9">
        <v>22</v>
      </c>
      <c r="D3" s="9">
        <v>22</v>
      </c>
      <c r="E3" s="9">
        <v>22</v>
      </c>
    </row>
    <row r="4" spans="1:5" x14ac:dyDescent="0.55000000000000004">
      <c r="A4" s="5" t="s">
        <v>85</v>
      </c>
      <c r="B4" s="6" t="s">
        <v>86</v>
      </c>
      <c r="C4" s="9">
        <v>34</v>
      </c>
      <c r="D4" s="9">
        <v>34</v>
      </c>
      <c r="E4" s="9">
        <v>34</v>
      </c>
    </row>
    <row r="5" spans="1:5" x14ac:dyDescent="0.55000000000000004">
      <c r="A5" s="6" t="s">
        <v>87</v>
      </c>
      <c r="B5" s="6" t="s">
        <v>88</v>
      </c>
      <c r="C5" s="8">
        <f>((C2/2)^2 - (C4/2)^2) * PI() / 1000000</f>
        <v>6.0667295733472494E-2</v>
      </c>
      <c r="D5" s="8">
        <f>((D2/2)^2 - (D4/2)^2) * PI() / 1000000</f>
        <v>6.0667295733472494E-2</v>
      </c>
      <c r="E5" s="8">
        <f>((E2/2)^2 - (E4/2)^2) * PI() / 1000000</f>
        <v>6.0667295733472494E-2</v>
      </c>
    </row>
    <row r="6" spans="1:5" x14ac:dyDescent="0.55000000000000004">
      <c r="A6" s="6" t="s">
        <v>89</v>
      </c>
      <c r="B6" s="6" t="s">
        <v>90</v>
      </c>
      <c r="C6" s="8">
        <f>((C2/2)^2 - (C4/2)^2) * PI() * C3 / 1000</f>
        <v>1334.6805061363948</v>
      </c>
      <c r="D6" s="8">
        <f>((D2/2)^2 - (D4/2)^2) * PI() * D3 / 1000</f>
        <v>1334.6805061363948</v>
      </c>
      <c r="E6" s="8">
        <f>((E2/2)^2 - (E4/2)^2) * PI() * E3 / 1000</f>
        <v>1334.6805061363948</v>
      </c>
    </row>
    <row r="7" spans="1:5" x14ac:dyDescent="0.55000000000000004">
      <c r="A7" s="5" t="s">
        <v>91</v>
      </c>
      <c r="B7" s="6" t="s">
        <v>92</v>
      </c>
      <c r="C7" s="9">
        <v>165</v>
      </c>
      <c r="D7" s="9">
        <v>165</v>
      </c>
      <c r="E7" s="9">
        <v>165</v>
      </c>
    </row>
    <row r="8" spans="1:5" x14ac:dyDescent="0.55000000000000004">
      <c r="A8" s="6" t="s">
        <v>93</v>
      </c>
      <c r="B8" s="6" t="s">
        <v>94</v>
      </c>
      <c r="C8" s="8">
        <f>((C2/2)^2 - (C7/2)^2) * PI() * C3 / 1000</f>
        <v>884.24052226101708</v>
      </c>
      <c r="D8" s="8">
        <f>((D2/2)^2 - (D7/2)^2) * PI() * D3 / 1000</f>
        <v>884.24052226101708</v>
      </c>
      <c r="E8" s="8">
        <f>((E2/2)^2 - (E7/2)^2) * PI() * E3 / 1000</f>
        <v>884.24052226101708</v>
      </c>
    </row>
    <row r="9" spans="1:5" x14ac:dyDescent="0.55000000000000004">
      <c r="A9" s="6" t="s">
        <v>95</v>
      </c>
      <c r="B9" s="6" t="s">
        <v>96</v>
      </c>
      <c r="C9" s="8">
        <f>(C6+C8) * 容器壁条件!C8</f>
        <v>17596.043755191473</v>
      </c>
      <c r="D9" s="8">
        <f>(D6+D8) * 容器壁条件!D8</f>
        <v>17596.043755191473</v>
      </c>
      <c r="E9" s="8">
        <f>(E6+E8) * 容器壁条件!E8</f>
        <v>17596.043755191473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74E4F-6ECC-4619-B1C7-9657CBE4F542}">
  <dimension ref="A1:E9"/>
  <sheetViews>
    <sheetView workbookViewId="0">
      <selection activeCell="B1" sqref="B1"/>
    </sheetView>
  </sheetViews>
  <sheetFormatPr defaultRowHeight="18" x14ac:dyDescent="0.55000000000000004"/>
  <cols>
    <col min="1" max="1" width="22.1640625" style="24" customWidth="1"/>
    <col min="2" max="2" width="17" style="24" customWidth="1"/>
    <col min="3" max="3" width="13" style="24" customWidth="1"/>
    <col min="4" max="4" width="11.75" style="24" customWidth="1"/>
    <col min="5" max="5" width="12.08203125" style="24" customWidth="1"/>
    <col min="6" max="16384" width="8.6640625" style="24"/>
  </cols>
  <sheetData>
    <row r="1" spans="1:5" x14ac:dyDescent="0.55000000000000004">
      <c r="A1" s="13" t="s">
        <v>97</v>
      </c>
      <c r="B1" s="29" t="s">
        <v>179</v>
      </c>
      <c r="C1" s="18" t="s">
        <v>48</v>
      </c>
      <c r="D1" s="21" t="s">
        <v>49</v>
      </c>
      <c r="E1" s="21" t="s">
        <v>50</v>
      </c>
    </row>
    <row r="2" spans="1:5" x14ac:dyDescent="0.55000000000000004">
      <c r="A2" s="5" t="s">
        <v>81</v>
      </c>
      <c r="B2" s="15" t="s">
        <v>82</v>
      </c>
      <c r="C2" s="9">
        <v>280</v>
      </c>
      <c r="D2" s="9">
        <v>280</v>
      </c>
      <c r="E2" s="9">
        <v>280</v>
      </c>
    </row>
    <row r="3" spans="1:5" x14ac:dyDescent="0.55000000000000004">
      <c r="A3" s="5" t="s">
        <v>83</v>
      </c>
      <c r="B3" s="6" t="s">
        <v>84</v>
      </c>
      <c r="C3" s="9">
        <v>22</v>
      </c>
      <c r="D3" s="9">
        <v>22</v>
      </c>
      <c r="E3" s="9">
        <v>22</v>
      </c>
    </row>
    <row r="4" spans="1:5" x14ac:dyDescent="0.55000000000000004">
      <c r="A4" s="5" t="s">
        <v>91</v>
      </c>
      <c r="B4" s="6" t="s">
        <v>86</v>
      </c>
      <c r="C4" s="7">
        <v>60.5</v>
      </c>
      <c r="D4" s="7">
        <v>60.5</v>
      </c>
      <c r="E4" s="7">
        <v>60.5</v>
      </c>
    </row>
    <row r="5" spans="1:5" x14ac:dyDescent="0.55000000000000004">
      <c r="A5" s="6" t="s">
        <v>98</v>
      </c>
      <c r="B5" s="6" t="s">
        <v>88</v>
      </c>
      <c r="C5" s="8">
        <f>((C2/2)^2 - (C4/2)^2) * PI() / 1000000</f>
        <v>5.8700462382784431E-2</v>
      </c>
      <c r="D5" s="8">
        <f>((D2/2)^2 - (D4/2)^2) * PI() / 1000000</f>
        <v>5.8700462382784431E-2</v>
      </c>
      <c r="E5" s="8">
        <f>((E2/2)^2 - (E4/2)^2) * PI() / 1000000</f>
        <v>5.8700462382784431E-2</v>
      </c>
    </row>
    <row r="6" spans="1:5" x14ac:dyDescent="0.55000000000000004">
      <c r="A6" s="6" t="s">
        <v>93</v>
      </c>
      <c r="B6" s="6" t="s">
        <v>90</v>
      </c>
      <c r="C6" s="8">
        <f>((C2/2)^2 - (C4/2)^2) * PI() * C3 / 1000</f>
        <v>1291.4101724212576</v>
      </c>
      <c r="D6" s="8">
        <f>((D2/2)^2 - (D4/2)^2) * PI() * D3 / 1000</f>
        <v>1291.4101724212576</v>
      </c>
      <c r="E6" s="8">
        <f>((E2/2)^2 - (E4/2)^2) * PI() * E3 / 1000</f>
        <v>1291.4101724212576</v>
      </c>
    </row>
    <row r="7" spans="1:5" x14ac:dyDescent="0.55000000000000004">
      <c r="A7" s="5" t="s">
        <v>85</v>
      </c>
      <c r="B7" s="6" t="s">
        <v>92</v>
      </c>
      <c r="C7" s="9">
        <v>165</v>
      </c>
      <c r="D7" s="9">
        <v>165</v>
      </c>
      <c r="E7" s="9">
        <v>165</v>
      </c>
    </row>
    <row r="8" spans="1:5" x14ac:dyDescent="0.55000000000000004">
      <c r="A8" s="6" t="s">
        <v>89</v>
      </c>
      <c r="B8" s="6" t="s">
        <v>94</v>
      </c>
      <c r="C8" s="8">
        <f>((C2/2)^2 - (C7/2)^2) * PI() * C3 / 1000</f>
        <v>884.24052226101708</v>
      </c>
      <c r="D8" s="8">
        <f>((D2/2)^2 - (D7/2)^2) * PI() * D3 / 1000</f>
        <v>884.24052226101708</v>
      </c>
      <c r="E8" s="8">
        <f>((E2/2)^2 - (E7/2)^2) * PI() * E3 / 1000</f>
        <v>884.24052226101708</v>
      </c>
    </row>
    <row r="9" spans="1:5" x14ac:dyDescent="0.55000000000000004">
      <c r="A9" s="6" t="s">
        <v>95</v>
      </c>
      <c r="B9" s="6" t="s">
        <v>96</v>
      </c>
      <c r="C9" s="8">
        <f>(C6+C8) * 容器壁条件!C8</f>
        <v>17252.910008830437</v>
      </c>
      <c r="D9" s="8">
        <f>(D6+D8) * 容器壁条件!D8</f>
        <v>17252.910008830437</v>
      </c>
      <c r="E9" s="8">
        <f>(E6+E8) * 容器壁条件!E8</f>
        <v>17252.910008830437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17614-6043-4EFC-B46D-6FB67C5AAE22}">
  <dimension ref="A1:E8"/>
  <sheetViews>
    <sheetView workbookViewId="0">
      <selection activeCell="B1" sqref="B1"/>
    </sheetView>
  </sheetViews>
  <sheetFormatPr defaultRowHeight="18" x14ac:dyDescent="0.55000000000000004"/>
  <cols>
    <col min="1" max="1" width="19.4140625" customWidth="1"/>
    <col min="2" max="2" width="21.6640625" customWidth="1"/>
    <col min="3" max="3" width="11.58203125" customWidth="1"/>
    <col min="4" max="4" width="12.08203125" customWidth="1"/>
    <col min="5" max="5" width="13.1640625" customWidth="1"/>
  </cols>
  <sheetData>
    <row r="1" spans="1:5" x14ac:dyDescent="0.55000000000000004">
      <c r="A1" s="13" t="s">
        <v>150</v>
      </c>
      <c r="B1" s="29" t="s">
        <v>179</v>
      </c>
      <c r="C1" s="18" t="s">
        <v>48</v>
      </c>
      <c r="D1" s="21" t="s">
        <v>49</v>
      </c>
      <c r="E1" s="21" t="s">
        <v>50</v>
      </c>
    </row>
    <row r="2" spans="1:5" x14ac:dyDescent="0.55000000000000004">
      <c r="A2" s="5" t="s">
        <v>151</v>
      </c>
      <c r="B2" s="15" t="s">
        <v>152</v>
      </c>
      <c r="C2" s="9">
        <v>2</v>
      </c>
      <c r="D2" s="9">
        <v>2</v>
      </c>
      <c r="E2" s="9">
        <v>2</v>
      </c>
    </row>
    <row r="3" spans="1:5" x14ac:dyDescent="0.55000000000000004">
      <c r="A3" s="5" t="s">
        <v>153</v>
      </c>
      <c r="B3" s="6" t="s">
        <v>154</v>
      </c>
      <c r="C3" s="7">
        <v>0.01</v>
      </c>
      <c r="D3" s="7">
        <v>0.01</v>
      </c>
      <c r="E3" s="7">
        <v>0.01</v>
      </c>
    </row>
    <row r="4" spans="1:5" x14ac:dyDescent="0.55000000000000004">
      <c r="A4" s="6" t="s">
        <v>155</v>
      </c>
      <c r="B4" s="6" t="s">
        <v>156</v>
      </c>
      <c r="C4" s="25">
        <f>PI()*C3^2/4</f>
        <v>7.8539816339744827E-5</v>
      </c>
      <c r="D4" s="25">
        <f>PI()*D3^2/4</f>
        <v>7.8539816339744827E-5</v>
      </c>
      <c r="E4" s="25">
        <f>PI()*E3^2/4</f>
        <v>7.8539816339744827E-5</v>
      </c>
    </row>
    <row r="5" spans="1:5" x14ac:dyDescent="0.55000000000000004">
      <c r="A5" s="6" t="s">
        <v>157</v>
      </c>
      <c r="B5" s="6" t="s">
        <v>158</v>
      </c>
      <c r="C5" s="25">
        <f>C4*C2+C8</f>
        <v>5.0157079632679492E-2</v>
      </c>
      <c r="D5" s="25">
        <f>D4*D2+D8</f>
        <v>5.0157079632679492E-2</v>
      </c>
      <c r="E5" s="22">
        <f>E4*E2+E8</f>
        <v>5.0157079632679492E-2</v>
      </c>
    </row>
    <row r="6" spans="1:5" x14ac:dyDescent="0.55000000000000004">
      <c r="A6" s="5" t="s">
        <v>159</v>
      </c>
      <c r="B6" s="6" t="s">
        <v>160</v>
      </c>
      <c r="C6" s="9">
        <v>1</v>
      </c>
      <c r="D6" s="9">
        <v>1</v>
      </c>
      <c r="E6" s="9">
        <v>1</v>
      </c>
    </row>
    <row r="7" spans="1:5" x14ac:dyDescent="0.55000000000000004">
      <c r="A7" s="5" t="s">
        <v>161</v>
      </c>
      <c r="B7" s="6" t="s">
        <v>162</v>
      </c>
      <c r="C7" s="11">
        <v>1E-3</v>
      </c>
      <c r="D7" s="11">
        <v>1E-3</v>
      </c>
      <c r="E7" s="11">
        <v>3.0000000000000001E-3</v>
      </c>
    </row>
    <row r="8" spans="1:5" x14ac:dyDescent="0.55000000000000004">
      <c r="A8" s="5"/>
      <c r="B8" s="6" t="s">
        <v>163</v>
      </c>
      <c r="C8" s="11">
        <v>0.05</v>
      </c>
      <c r="D8" s="11">
        <v>0.05</v>
      </c>
      <c r="E8" s="11">
        <v>0.05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422FA-BBEC-47B3-B7E0-184A656A0294}">
  <dimension ref="A1:E6"/>
  <sheetViews>
    <sheetView workbookViewId="0">
      <selection activeCell="E16" sqref="E16"/>
    </sheetView>
  </sheetViews>
  <sheetFormatPr defaultRowHeight="18" x14ac:dyDescent="0.55000000000000004"/>
  <cols>
    <col min="1" max="1" width="26.6640625" customWidth="1"/>
    <col min="2" max="2" width="20.4140625" customWidth="1"/>
    <col min="3" max="3" width="12.25" customWidth="1"/>
    <col min="4" max="4" width="11.58203125" customWidth="1"/>
    <col min="5" max="5" width="11.4140625" customWidth="1"/>
  </cols>
  <sheetData>
    <row r="1" spans="1:5" x14ac:dyDescent="0.55000000000000004">
      <c r="A1" s="13" t="s">
        <v>164</v>
      </c>
      <c r="B1" s="29" t="s">
        <v>179</v>
      </c>
      <c r="C1" s="18" t="s">
        <v>48</v>
      </c>
      <c r="D1" s="21" t="s">
        <v>49</v>
      </c>
      <c r="E1" s="21" t="s">
        <v>50</v>
      </c>
    </row>
    <row r="2" spans="1:5" x14ac:dyDescent="0.55000000000000004">
      <c r="A2" s="5" t="s">
        <v>165</v>
      </c>
      <c r="B2" s="15" t="s">
        <v>152</v>
      </c>
      <c r="C2" s="9">
        <v>2</v>
      </c>
      <c r="D2" s="9">
        <v>2</v>
      </c>
      <c r="E2" s="9">
        <v>2</v>
      </c>
    </row>
    <row r="3" spans="1:5" x14ac:dyDescent="0.55000000000000004">
      <c r="A3" s="5" t="s">
        <v>166</v>
      </c>
      <c r="B3" s="6" t="s">
        <v>154</v>
      </c>
      <c r="C3" s="11">
        <v>2.5000000000000001E-2</v>
      </c>
      <c r="D3" s="11">
        <v>2.5000000000000001E-2</v>
      </c>
      <c r="E3" s="11">
        <v>2.5000000000000001E-2</v>
      </c>
    </row>
    <row r="4" spans="1:5" x14ac:dyDescent="0.55000000000000004">
      <c r="A4" s="6" t="s">
        <v>167</v>
      </c>
      <c r="B4" s="6" t="s">
        <v>156</v>
      </c>
      <c r="C4" s="26">
        <f>PI()*C3^2/4</f>
        <v>4.9087385212340522E-4</v>
      </c>
      <c r="D4" s="26">
        <f>PI()*D3^2/4</f>
        <v>4.9087385212340522E-4</v>
      </c>
      <c r="E4" s="26">
        <f>PI()*E3^2/4</f>
        <v>4.9087385212340522E-4</v>
      </c>
    </row>
    <row r="5" spans="1:5" x14ac:dyDescent="0.55000000000000004">
      <c r="A5" s="5" t="s">
        <v>168</v>
      </c>
      <c r="B5" s="6" t="s">
        <v>158</v>
      </c>
      <c r="C5" s="27">
        <v>5.0000000000000001E-3</v>
      </c>
      <c r="D5" s="27">
        <v>5.0000000000000001E-3</v>
      </c>
      <c r="E5" s="27">
        <v>5.0000000000000001E-3</v>
      </c>
    </row>
    <row r="6" spans="1:5" x14ac:dyDescent="0.55000000000000004">
      <c r="A6" s="6" t="s">
        <v>169</v>
      </c>
      <c r="B6" s="6" t="s">
        <v>170</v>
      </c>
      <c r="C6" s="22">
        <f>C5+触媒充填層条件!C19</f>
        <v>1.0911470697185718E-2</v>
      </c>
      <c r="D6" s="8">
        <f>D5+触媒充填層条件!D19</f>
        <v>1.0911470697185718E-2</v>
      </c>
      <c r="E6" s="8">
        <f>E5+触媒充填層条件!E19</f>
        <v>1.0911470697185718E-2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C0CB0-B597-4DEC-8AAC-1E9EBB45F89A}">
  <dimension ref="A1:E4"/>
  <sheetViews>
    <sheetView workbookViewId="0">
      <selection activeCell="F11" sqref="F11"/>
    </sheetView>
  </sheetViews>
  <sheetFormatPr defaultRowHeight="18" x14ac:dyDescent="0.55000000000000004"/>
  <cols>
    <col min="1" max="1" width="20.6640625" customWidth="1"/>
    <col min="2" max="2" width="21.58203125" customWidth="1"/>
  </cols>
  <sheetData>
    <row r="1" spans="1:5" x14ac:dyDescent="0.55000000000000004">
      <c r="A1" s="13" t="s">
        <v>171</v>
      </c>
      <c r="B1" s="29" t="s">
        <v>179</v>
      </c>
      <c r="C1" s="18" t="s">
        <v>48</v>
      </c>
      <c r="D1" s="21" t="s">
        <v>49</v>
      </c>
      <c r="E1" s="21" t="s">
        <v>50</v>
      </c>
    </row>
    <row r="2" spans="1:5" x14ac:dyDescent="0.55000000000000004">
      <c r="A2" s="5" t="s">
        <v>172</v>
      </c>
      <c r="B2" s="15" t="s">
        <v>173</v>
      </c>
      <c r="C2" s="7">
        <v>0.4</v>
      </c>
      <c r="D2" s="7">
        <v>0.4</v>
      </c>
      <c r="E2" s="7">
        <v>0.4</v>
      </c>
    </row>
    <row r="3" spans="1:5" x14ac:dyDescent="0.55000000000000004">
      <c r="A3" s="5" t="s">
        <v>174</v>
      </c>
      <c r="B3" s="6" t="s">
        <v>175</v>
      </c>
      <c r="C3" s="9">
        <v>1</v>
      </c>
      <c r="D3" s="9">
        <v>1</v>
      </c>
      <c r="E3" s="9">
        <v>1</v>
      </c>
    </row>
    <row r="4" spans="1:5" x14ac:dyDescent="0.55000000000000004">
      <c r="A4" s="5" t="s">
        <v>176</v>
      </c>
      <c r="B4" s="6" t="s">
        <v>177</v>
      </c>
      <c r="C4" s="9">
        <v>1</v>
      </c>
      <c r="D4" s="9">
        <v>1</v>
      </c>
      <c r="E4" s="9">
        <v>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共通</vt:lpstr>
      <vt:lpstr>触媒充填層条件</vt:lpstr>
      <vt:lpstr>導入ガス条件</vt:lpstr>
      <vt:lpstr>容器壁条件</vt:lpstr>
      <vt:lpstr>上蓋の条件</vt:lpstr>
      <vt:lpstr>下蓋の条件</vt:lpstr>
      <vt:lpstr>均圧配管条件</vt:lpstr>
      <vt:lpstr>真空引き配管条件</vt:lpstr>
      <vt:lpstr>熱電対条件</vt:lpstr>
    </vt:vector>
  </TitlesOfParts>
  <Company>JFEエンジニアリング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黒木 琢磨</dc:creator>
  <cp:lastModifiedBy>黒木 琢磨</cp:lastModifiedBy>
  <dcterms:created xsi:type="dcterms:W3CDTF">2025-04-20T22:46:40Z</dcterms:created>
  <dcterms:modified xsi:type="dcterms:W3CDTF">2025-04-21T04:16:19Z</dcterms:modified>
</cp:coreProperties>
</file>