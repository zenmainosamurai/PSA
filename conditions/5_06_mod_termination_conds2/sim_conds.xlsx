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3"/>
  <workbookPr/>
  <mc:AlternateContent xmlns:mc="http://schemas.openxmlformats.org/markup-compatibility/2006">
    <mc:Choice Requires="x15">
      <x15ac:absPath xmlns:x15ac="http://schemas.microsoft.com/office/spreadsheetml/2010/11/ac" url="C:\Users\jfe103656\Desktop\"/>
    </mc:Choice>
  </mc:AlternateContent>
  <xr:revisionPtr revIDLastSave="0" documentId="13_ncr:1_{DFA6076C-C8B7-424C-901A-E027CBE6B1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共通" sheetId="1" r:id="rId1"/>
    <sheet name="塔1" sheetId="2" r:id="rId2"/>
    <sheet name="塔2" sheetId="5" r:id="rId3"/>
    <sheet name="塔3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2" l="1"/>
  <c r="T18" i="6"/>
  <c r="T8" i="2"/>
  <c r="T8" i="5"/>
  <c r="T8" i="6"/>
  <c r="L21" i="6"/>
  <c r="P19" i="6"/>
  <c r="L19" i="6"/>
  <c r="L22" i="6" s="1"/>
  <c r="L18" i="6"/>
  <c r="T16" i="6"/>
  <c r="D15" i="6"/>
  <c r="P13" i="6"/>
  <c r="P12" i="6"/>
  <c r="P26" i="6" s="1"/>
  <c r="P27" i="6" s="1"/>
  <c r="L11" i="6"/>
  <c r="P9" i="6"/>
  <c r="L9" i="6"/>
  <c r="L12" i="6" s="1"/>
  <c r="L8" i="6"/>
  <c r="T7" i="6"/>
  <c r="H7" i="6"/>
  <c r="H15" i="6" s="1"/>
  <c r="D7" i="6"/>
  <c r="D9" i="6" s="1"/>
  <c r="D11" i="6" s="1"/>
  <c r="H6" i="6"/>
  <c r="H8" i="6" s="1"/>
  <c r="D6" i="6"/>
  <c r="L21" i="5"/>
  <c r="L19" i="5"/>
  <c r="L22" i="5" s="1"/>
  <c r="L18" i="5"/>
  <c r="T16" i="5"/>
  <c r="D15" i="5"/>
  <c r="P13" i="5"/>
  <c r="P12" i="5"/>
  <c r="P26" i="5" s="1"/>
  <c r="P27" i="5" s="1"/>
  <c r="L12" i="5"/>
  <c r="L11" i="5"/>
  <c r="P9" i="5"/>
  <c r="L9" i="5"/>
  <c r="L8" i="5"/>
  <c r="T7" i="5"/>
  <c r="H7" i="5"/>
  <c r="H15" i="5" s="1"/>
  <c r="H6" i="5"/>
  <c r="H8" i="5" s="1"/>
  <c r="D6" i="5"/>
  <c r="D7" i="5" s="1"/>
  <c r="L21" i="2"/>
  <c r="L19" i="2"/>
  <c r="L22" i="2" s="1"/>
  <c r="L18" i="2"/>
  <c r="T16" i="2"/>
  <c r="H15" i="2"/>
  <c r="D15" i="2"/>
  <c r="L11" i="2"/>
  <c r="L12" i="2" s="1"/>
  <c r="P9" i="2"/>
  <c r="P13" i="2" s="1"/>
  <c r="L9" i="2"/>
  <c r="L8" i="2"/>
  <c r="T7" i="2"/>
  <c r="H7" i="2"/>
  <c r="H6" i="2"/>
  <c r="H9" i="2" s="1"/>
  <c r="H10" i="2" s="1"/>
  <c r="H12" i="2" s="1"/>
  <c r="D6" i="2"/>
  <c r="D7" i="2" s="1"/>
  <c r="H9" i="6" l="1"/>
  <c r="H10" i="6" s="1"/>
  <c r="H12" i="6" s="1"/>
  <c r="D22" i="6"/>
  <c r="P16" i="6"/>
  <c r="P22" i="6"/>
  <c r="D9" i="5"/>
  <c r="D11" i="5" s="1"/>
  <c r="D22" i="5"/>
  <c r="T18" i="5" s="1"/>
  <c r="H9" i="5"/>
  <c r="H10" i="5" s="1"/>
  <c r="H12" i="5" s="1"/>
  <c r="P19" i="5"/>
  <c r="P16" i="5"/>
  <c r="P22" i="5"/>
  <c r="D9" i="2"/>
  <c r="D11" i="2" s="1"/>
  <c r="D22" i="2"/>
  <c r="H8" i="2"/>
  <c r="P12" i="2"/>
  <c r="P19" i="2" l="1"/>
  <c r="P16" i="2"/>
  <c r="P26" i="2"/>
  <c r="P27" i="2" s="1"/>
  <c r="P22" i="2"/>
</calcChain>
</file>

<file path=xl/sharedStrings.xml><?xml version="1.0" encoding="utf-8"?>
<sst xmlns="http://schemas.openxmlformats.org/spreadsheetml/2006/main" count="599" uniqueCount="187">
  <si>
    <t>塔間共通パラメータ</t>
  </si>
  <si>
    <t>計算ステップ [min]</t>
  </si>
  <si>
    <t>dt</t>
  </si>
  <si>
    <t>ストリーム分割数</t>
  </si>
  <si>
    <t>NUM_STR</t>
  </si>
  <si>
    <t>セクション分割数</t>
  </si>
  <si>
    <t>NUM_SEC</t>
  </si>
  <si>
    <t>塔１パラメータ</t>
    <phoneticPr fontId="3"/>
  </si>
  <si>
    <t>触媒充填層条件</t>
  </si>
  <si>
    <t>PACKED_BED_COND</t>
    <phoneticPr fontId="3"/>
  </si>
  <si>
    <t>容器壁条件</t>
  </si>
  <si>
    <t>DRUM_WALL_COND</t>
  </si>
  <si>
    <t>上蓋の条件</t>
  </si>
  <si>
    <t>LID_COND (UP)</t>
    <phoneticPr fontId="3"/>
  </si>
  <si>
    <t>導入ガス条件</t>
  </si>
  <si>
    <t>INFLOW_GAS_COND</t>
  </si>
  <si>
    <t>均圧配管条件</t>
  </si>
  <si>
    <t>PRESS_EQUAL_PIPE_COND</t>
  </si>
  <si>
    <t>充填層直径 [m]</t>
  </si>
  <si>
    <t>Dbed</t>
  </si>
  <si>
    <t>容器直径 [m]</t>
  </si>
  <si>
    <t>Ddrum</t>
  </si>
  <si>
    <t>フランジ径 [mm]</t>
  </si>
  <si>
    <t>Dflange</t>
  </si>
  <si>
    <t>CO2分子量 [g/mol]</t>
  </si>
  <si>
    <t>mw_co2</t>
  </si>
  <si>
    <t>均圧配管の長さ [m]</t>
  </si>
  <si>
    <t>Lpipe</t>
  </si>
  <si>
    <t>充填層半径 [m]</t>
  </si>
  <si>
    <t>Rbed</t>
  </si>
  <si>
    <t>容器半径 [m]</t>
  </si>
  <si>
    <t>Rdrum</t>
  </si>
  <si>
    <t>フランジ厚 [mm]</t>
  </si>
  <si>
    <t>Tflange</t>
  </si>
  <si>
    <t>CO2流量 [L/min]</t>
  </si>
  <si>
    <t>fr_co2</t>
  </si>
  <si>
    <t>均圧配管径 [m]</t>
  </si>
  <si>
    <t>Dpipe</t>
  </si>
  <si>
    <t>充填層断面積 [m2]</t>
  </si>
  <si>
    <t>Sbed</t>
  </si>
  <si>
    <t>容器高さ [m]</t>
  </si>
  <si>
    <t>Ldrum</t>
  </si>
  <si>
    <t>上底フラ内孔径 [mm]</t>
  </si>
  <si>
    <t>PDflange_up</t>
  </si>
  <si>
    <t>N2分子量 [g/mol]</t>
  </si>
  <si>
    <t>mw_n2</t>
  </si>
  <si>
    <t>配管断面積 [m2]</t>
  </si>
  <si>
    <t>Spipe</t>
  </si>
  <si>
    <t>充填層高さ [m]</t>
  </si>
  <si>
    <t>Lbed</t>
  </si>
  <si>
    <t>容器壁厚み [m]</t>
  </si>
  <si>
    <t>Tdrumw</t>
  </si>
  <si>
    <t>上底フラ面積 [m2]</t>
  </si>
  <si>
    <t>Sflange_up</t>
  </si>
  <si>
    <t>N2流量 [L/min]</t>
  </si>
  <si>
    <t>fr_n2</t>
  </si>
  <si>
    <t>配管体積 [m3]</t>
  </si>
  <si>
    <t>Vpipe</t>
  </si>
  <si>
    <t>充填層体積 [m3]</t>
  </si>
  <si>
    <t>Vbed</t>
  </si>
  <si>
    <t>容器壁断面積 [m2]</t>
  </si>
  <si>
    <t>Sdrumw</t>
  </si>
  <si>
    <t>上底フラ体積 [cm3]</t>
  </si>
  <si>
    <t>Vflange_up</t>
  </si>
  <si>
    <t>全流量 [L/min]</t>
  </si>
  <si>
    <t>fr_all</t>
  </si>
  <si>
    <t>流速補正係数 [-]</t>
  </si>
  <si>
    <t>coef_fr</t>
  </si>
  <si>
    <t>充填吸着材量 [g]</t>
  </si>
  <si>
    <t>Mabs</t>
  </si>
  <si>
    <t>容器壁体積 [m3]</t>
  </si>
  <si>
    <t>Vdrumw</t>
  </si>
  <si>
    <t>下底フラ内孔径 [mm]</t>
  </si>
  <si>
    <t>PDflange_dw</t>
  </si>
  <si>
    <t>全圧 [MPaA]</t>
  </si>
  <si>
    <t>total_press</t>
  </si>
  <si>
    <t>上部空間体積 [m3]</t>
  </si>
  <si>
    <t>V_upper_pipe</t>
  </si>
  <si>
    <t>吸着材かさ密度 [g/cm3]</t>
  </si>
  <si>
    <t>rho_abs</t>
  </si>
  <si>
    <t>容器壁密度 [g/cm3]</t>
  </si>
  <si>
    <t>Dense_drumw</t>
  </si>
  <si>
    <t>下底フラ体積 [cm3]</t>
  </si>
  <si>
    <t>Vflange_dw</t>
  </si>
  <si>
    <t>温度 [degC]</t>
  </si>
  <si>
    <t>temp</t>
  </si>
  <si>
    <t>V_equalpipespace</t>
    <phoneticPr fontId="3"/>
  </si>
  <si>
    <t>充填層熱伝導率 [W/m/K]</t>
  </si>
  <si>
    <t>lambda_col</t>
  </si>
  <si>
    <t>容器壁総重量 [g]</t>
  </si>
  <si>
    <t>Wdrumw</t>
  </si>
  <si>
    <t>フランジ重量 [g]</t>
  </si>
  <si>
    <t>Mflange</t>
  </si>
  <si>
    <t>CO2分率 [co2]</t>
  </si>
  <si>
    <t>mf_co2</t>
  </si>
  <si>
    <t>充填層粒子放射率 [-]</t>
  </si>
  <si>
    <t>epsilon_p</t>
  </si>
  <si>
    <t>容器壁比熱 [J/g/K]</t>
  </si>
  <si>
    <t>sh_drumw</t>
  </si>
  <si>
    <t>CO2分率 [nitrogen]</t>
  </si>
  <si>
    <t>mf_n2</t>
  </si>
  <si>
    <t>真空引き配管条件</t>
  </si>
  <si>
    <t>VACUUMING_PIPE_COND</t>
  </si>
  <si>
    <t>充填層粒子比率 [J/g/K]</t>
  </si>
  <si>
    <t>cabs</t>
  </si>
  <si>
    <t>容器壁熱伝導率 [W/m/K]</t>
  </si>
  <si>
    <t>c_drumw</t>
  </si>
  <si>
    <t>下蓋の条件</t>
  </si>
  <si>
    <t>LID_COND (DOWN)</t>
    <phoneticPr fontId="3"/>
  </si>
  <si>
    <t>CO2密度 [kg/m3]</t>
  </si>
  <si>
    <t>dense_co2</t>
  </si>
  <si>
    <t>真空引き配管長さ [m]</t>
  </si>
  <si>
    <t>充填層熱容量 [J/K]</t>
  </si>
  <si>
    <t>Cbed</t>
  </si>
  <si>
    <t>容器側面積 [m2]</t>
  </si>
  <si>
    <t>la_drum</t>
  </si>
  <si>
    <t>N2密度 [kg/m3]</t>
  </si>
  <si>
    <t>dense_n2</t>
  </si>
  <si>
    <t>真空引き配管直径 [m]</t>
  </si>
  <si>
    <t>平均空隙率 [-]</t>
  </si>
  <si>
    <t>epsilon</t>
  </si>
  <si>
    <t>外気熱伝達係数 [W/m2/K]</t>
  </si>
  <si>
    <t>coef_outair_heat</t>
  </si>
  <si>
    <t>平均密度 [kg/m3]</t>
  </si>
  <si>
    <t>dense_mean</t>
  </si>
  <si>
    <t>真空引き配管断面積 [m2]</t>
  </si>
  <si>
    <t>平均粒子径 [m]</t>
  </si>
  <si>
    <t>dp</t>
  </si>
  <si>
    <t>外気温 [℃]</t>
  </si>
  <si>
    <t>temp_outside</t>
  </si>
  <si>
    <t>CO2熱伝導率 [W/m/K]</t>
  </si>
  <si>
    <t>c_co2</t>
  </si>
  <si>
    <t>真空排気ライン空間体積 [m3]</t>
  </si>
  <si>
    <t>形状補正係数 [-]</t>
  </si>
  <si>
    <t>phi</t>
  </si>
  <si>
    <t>壁-層伝熱係数の補正係数</t>
  </si>
  <si>
    <t>coef_hw1</t>
  </si>
  <si>
    <t>下底フラ面積 [m2]</t>
  </si>
  <si>
    <t>N2熱伝導率 [W/m/K]</t>
  </si>
  <si>
    <t>c_n2</t>
  </si>
  <si>
    <t>真空排気空間容積 [m3]</t>
  </si>
  <si>
    <t>Vspace</t>
  </si>
  <si>
    <t>到達真空圧力 [kPaA]</t>
  </si>
  <si>
    <t>vacuume_pressure</t>
  </si>
  <si>
    <t>平均熱伝導率 [W/m/K]</t>
  </si>
  <si>
    <t>c_mean</t>
  </si>
  <si>
    <t>吸着移動係数 [1e-6/sec]</t>
  </si>
  <si>
    <t>ks_adsorp</t>
  </si>
  <si>
    <t>CO2粘度 [Pas]</t>
  </si>
  <si>
    <t>vi_co2</t>
  </si>
  <si>
    <t>熱電対条件</t>
  </si>
  <si>
    <t>THERMOCOUPLE_COND</t>
  </si>
  <si>
    <t>脱着移動係数 [1e-6/sec]</t>
  </si>
  <si>
    <t>ks_desorp</t>
  </si>
  <si>
    <t>N2粘度 [Pas]</t>
  </si>
  <si>
    <t>vi_n2</t>
  </si>
  <si>
    <t>熱電対比熱 [J/g/K]</t>
  </si>
  <si>
    <t>cp</t>
  </si>
  <si>
    <t>充填層空間体積 [m3]</t>
  </si>
  <si>
    <t>v_space</t>
  </si>
  <si>
    <t>平均粘度 [Pas]</t>
  </si>
  <si>
    <t>vi_mean</t>
  </si>
  <si>
    <t>熱電対重量 [g]</t>
  </si>
  <si>
    <t>weight</t>
  </si>
  <si>
    <t>上流空間体積 [m3]</t>
  </si>
  <si>
    <t>v_upstream</t>
  </si>
  <si>
    <t>エンタルピー [kJ/kg]</t>
  </si>
  <si>
    <t>enthalpy</t>
  </si>
  <si>
    <t>熱電対伝熱補正係数</t>
  </si>
  <si>
    <t>coef_heat_transfer</t>
  </si>
  <si>
    <t>v_pipespace</t>
    <phoneticPr fontId="3"/>
  </si>
  <si>
    <t>co2比熱</t>
  </si>
  <si>
    <t>cp_co2</t>
  </si>
  <si>
    <t>初期吸着量 [cm4/g-abs]</t>
  </si>
  <si>
    <t>init_adsorp_amt</t>
  </si>
  <si>
    <t>n2比熱</t>
  </si>
  <si>
    <t>cp_n2</t>
  </si>
  <si>
    <t>平均比熱Cp [kJ/kg/K]</t>
  </si>
  <si>
    <t>cp_mean</t>
  </si>
  <si>
    <t>1h熱容量 [kJ/K/h]</t>
  </si>
  <si>
    <t>C_per_hour</t>
  </si>
  <si>
    <t>CO2吸着熱 [kJ/kg]</t>
  </si>
  <si>
    <t>adsorp_heat_co2</t>
  </si>
  <si>
    <t>N2吸着熱 [kJ/kg]</t>
  </si>
  <si>
    <t>adsorp_heat_n2</t>
  </si>
  <si>
    <t>塔２パラメータ</t>
    <phoneticPr fontId="3"/>
  </si>
  <si>
    <t>塔３パラメータ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</si>
</sst>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#,##0.0000"/>
    <numFmt numFmtId="178" formatCode="#,##0.00000"/>
  </numFmts>
  <fonts count="4">
    <font>
      <sz val="11"/>
      <color theme="1"/>
      <name val="ＭＳ Ｐゴシック"/>
      <family val="2"/>
      <scheme val="minor"/>
    </font>
    <font>
      <b/>
      <sz val="11"/>
      <color rgb="FF000000"/>
      <name val="游ゴシック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F2D0"/>
      </patternFill>
    </fill>
    <fill>
      <patternFill patternType="solid">
        <fgColor rgb="FFD9D9D9"/>
      </patternFill>
    </fill>
    <fill>
      <patternFill patternType="solid">
        <fgColor rgb="FFFBFECE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4" fontId="2" fillId="4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4" fontId="2" fillId="2" borderId="5" xfId="0" applyNumberFormat="1" applyFont="1" applyFill="1" applyBorder="1"/>
    <xf numFmtId="0" fontId="2" fillId="3" borderId="6" xfId="0" applyFont="1" applyFill="1" applyBorder="1" applyAlignment="1">
      <alignment horizontal="left"/>
    </xf>
    <xf numFmtId="0" fontId="2" fillId="2" borderId="7" xfId="0" applyFont="1" applyFill="1" applyBorder="1"/>
    <xf numFmtId="3" fontId="2" fillId="2" borderId="5" xfId="0" applyNumberFormat="1" applyFont="1" applyFill="1" applyBorder="1"/>
    <xf numFmtId="176" fontId="2" fillId="4" borderId="2" xfId="0" applyNumberFormat="1" applyFont="1" applyFill="1" applyBorder="1" applyAlignment="1">
      <alignment horizontal="right"/>
    </xf>
    <xf numFmtId="176" fontId="2" fillId="3" borderId="2" xfId="0" applyNumberFormat="1" applyFont="1" applyFill="1" applyBorder="1" applyAlignment="1">
      <alignment horizontal="right"/>
    </xf>
    <xf numFmtId="177" fontId="2" fillId="4" borderId="2" xfId="0" applyNumberFormat="1" applyFont="1" applyFill="1" applyBorder="1" applyAlignment="1">
      <alignment horizontal="right"/>
    </xf>
    <xf numFmtId="178" fontId="2" fillId="3" borderId="2" xfId="0" applyNumberFormat="1" applyFont="1" applyFill="1" applyBorder="1" applyAlignment="1">
      <alignment horizontal="right"/>
    </xf>
    <xf numFmtId="177" fontId="2" fillId="3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D8"/>
  <sheetViews>
    <sheetView tabSelected="1" workbookViewId="0"/>
  </sheetViews>
  <sheetFormatPr defaultRowHeight="13.15"/>
  <cols>
    <col min="1" max="1" width="2" bestFit="1" customWidth="1"/>
    <col min="2" max="2" width="27" bestFit="1" customWidth="1"/>
    <col min="3" max="3" width="9.7109375" bestFit="1" customWidth="1"/>
    <col min="4" max="4" width="18.28515625" style="11" bestFit="1" customWidth="1"/>
  </cols>
  <sheetData>
    <row r="1" spans="2:4" ht="18.75" customHeight="1"/>
    <row r="2" spans="2:4" ht="24" customHeight="1">
      <c r="B2" s="4" t="s">
        <v>0</v>
      </c>
    </row>
    <row r="3" spans="2:4" ht="18.75" customHeight="1"/>
    <row r="4" spans="2:4" ht="18.75" customHeight="1"/>
    <row r="5" spans="2:4" ht="21" customHeight="1">
      <c r="B5" s="24" t="s">
        <v>0</v>
      </c>
      <c r="C5" s="24"/>
      <c r="D5" s="25"/>
    </row>
    <row r="6" spans="2:4" ht="21" customHeight="1">
      <c r="B6" s="5" t="s">
        <v>1</v>
      </c>
      <c r="C6" s="6" t="s">
        <v>2</v>
      </c>
      <c r="D6" s="7">
        <v>0.01</v>
      </c>
    </row>
    <row r="7" spans="2:4" ht="21" customHeight="1">
      <c r="B7" s="5" t="s">
        <v>3</v>
      </c>
      <c r="C7" s="6" t="s">
        <v>4</v>
      </c>
      <c r="D7" s="8">
        <v>2</v>
      </c>
    </row>
    <row r="8" spans="2:4" ht="21.75" customHeight="1">
      <c r="B8" s="5" t="s">
        <v>5</v>
      </c>
      <c r="C8" s="6" t="s">
        <v>6</v>
      </c>
      <c r="D8" s="8">
        <v>20</v>
      </c>
    </row>
  </sheetData>
  <mergeCells count="1">
    <mergeCell ref="B5:D5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T29"/>
  <sheetViews>
    <sheetView workbookViewId="0">
      <selection activeCell="E25" sqref="E25"/>
    </sheetView>
  </sheetViews>
  <sheetFormatPr defaultRowHeight="13.15"/>
  <cols>
    <col min="1" max="1" width="2" bestFit="1" customWidth="1"/>
    <col min="2" max="2" width="28.28515625" bestFit="1" customWidth="1"/>
    <col min="3" max="3" width="15.140625" customWidth="1"/>
    <col min="4" max="4" width="16.7109375" style="1" bestFit="1" customWidth="1"/>
    <col min="5" max="5" width="3.85546875" bestFit="1" customWidth="1"/>
    <col min="6" max="6" width="30.7109375" bestFit="1" customWidth="1"/>
    <col min="7" max="7" width="12" bestFit="1" customWidth="1"/>
    <col min="8" max="8" width="16.7109375" style="2" bestFit="1" customWidth="1"/>
    <col min="9" max="9" width="2.5703125" bestFit="1" customWidth="1"/>
    <col min="10" max="10" width="33.5703125" bestFit="1" customWidth="1"/>
    <col min="11" max="11" width="14.28515625" bestFit="1" customWidth="1"/>
    <col min="12" max="12" width="17.28515625" style="2" bestFit="1" customWidth="1"/>
    <col min="13" max="13" width="2.28515625" bestFit="1" customWidth="1"/>
    <col min="14" max="14" width="35.7109375" bestFit="1" customWidth="1"/>
    <col min="15" max="15" width="13.28515625" customWidth="1"/>
    <col min="16" max="16" width="18.28515625" style="3" bestFit="1" customWidth="1"/>
    <col min="17" max="17" width="2.5703125" bestFit="1" customWidth="1"/>
    <col min="18" max="18" width="40.7109375" bestFit="1" customWidth="1"/>
    <col min="19" max="19" width="19" bestFit="1" customWidth="1"/>
    <col min="20" max="20" width="16.28515625" style="1" bestFit="1" customWidth="1"/>
  </cols>
  <sheetData>
    <row r="1" spans="2:20" ht="8.65" customHeight="1"/>
    <row r="2" spans="2:20" ht="18.75" customHeight="1">
      <c r="B2" s="4" t="s">
        <v>7</v>
      </c>
      <c r="C2" s="4"/>
    </row>
    <row r="3" spans="2:20" ht="6" customHeight="1"/>
    <row r="4" spans="2:20" ht="18.75" customHeight="1">
      <c r="B4" s="12" t="s">
        <v>8</v>
      </c>
      <c r="C4" s="13" t="s">
        <v>9</v>
      </c>
      <c r="D4" s="14"/>
      <c r="F4" s="12" t="s">
        <v>10</v>
      </c>
      <c r="G4" s="17" t="s">
        <v>11</v>
      </c>
      <c r="H4" s="15"/>
      <c r="J4" s="12" t="s">
        <v>12</v>
      </c>
      <c r="K4" s="17" t="s">
        <v>13</v>
      </c>
      <c r="L4" s="15"/>
      <c r="N4" s="12" t="s">
        <v>14</v>
      </c>
      <c r="O4" s="17" t="s">
        <v>15</v>
      </c>
      <c r="P4" s="15"/>
      <c r="R4" s="12" t="s">
        <v>16</v>
      </c>
      <c r="S4" s="17" t="s">
        <v>17</v>
      </c>
      <c r="T4" s="18"/>
    </row>
    <row r="5" spans="2:20" ht="18.75" customHeight="1">
      <c r="B5" s="5" t="s">
        <v>18</v>
      </c>
      <c r="C5" s="6" t="s">
        <v>19</v>
      </c>
      <c r="D5" s="7">
        <v>0.1552</v>
      </c>
      <c r="F5" s="5" t="s">
        <v>20</v>
      </c>
      <c r="G5" s="16" t="s">
        <v>21</v>
      </c>
      <c r="H5" s="7">
        <v>0.16520000000000001</v>
      </c>
      <c r="J5" s="5" t="s">
        <v>22</v>
      </c>
      <c r="K5" s="16" t="s">
        <v>23</v>
      </c>
      <c r="L5" s="8">
        <v>280</v>
      </c>
      <c r="N5" s="5" t="s">
        <v>24</v>
      </c>
      <c r="O5" s="16" t="s">
        <v>25</v>
      </c>
      <c r="P5" s="8">
        <v>44</v>
      </c>
      <c r="R5" s="5" t="s">
        <v>26</v>
      </c>
      <c r="S5" s="16" t="s">
        <v>27</v>
      </c>
      <c r="T5" s="8">
        <v>2</v>
      </c>
    </row>
    <row r="6" spans="2:20" ht="18.75" customHeight="1">
      <c r="B6" s="6" t="s">
        <v>28</v>
      </c>
      <c r="C6" s="6" t="s">
        <v>29</v>
      </c>
      <c r="D6" s="9">
        <f>D5/2</f>
        <v>7.7600000000000002E-2</v>
      </c>
      <c r="F6" s="6" t="s">
        <v>30</v>
      </c>
      <c r="G6" s="6" t="s">
        <v>31</v>
      </c>
      <c r="H6" s="9">
        <f>H5/2</f>
        <v>8.2600000000000007E-2</v>
      </c>
      <c r="J6" s="5" t="s">
        <v>32</v>
      </c>
      <c r="K6" s="6" t="s">
        <v>33</v>
      </c>
      <c r="L6" s="8">
        <v>22</v>
      </c>
      <c r="N6" s="5" t="s">
        <v>34</v>
      </c>
      <c r="O6" s="6" t="s">
        <v>35</v>
      </c>
      <c r="P6" s="8">
        <v>22</v>
      </c>
      <c r="R6" s="5" t="s">
        <v>36</v>
      </c>
      <c r="S6" s="6" t="s">
        <v>37</v>
      </c>
      <c r="T6" s="7">
        <v>0.01</v>
      </c>
    </row>
    <row r="7" spans="2:20" ht="18.75" customHeight="1">
      <c r="B7" s="6" t="s">
        <v>38</v>
      </c>
      <c r="C7" s="6" t="s">
        <v>39</v>
      </c>
      <c r="D7" s="9">
        <f>PI()*D6^2</f>
        <v>1.8917916977680874E-2</v>
      </c>
      <c r="F7" s="6" t="s">
        <v>40</v>
      </c>
      <c r="G7" s="6" t="s">
        <v>41</v>
      </c>
      <c r="H7" s="9">
        <f>D8</f>
        <v>0.86799999999999999</v>
      </c>
      <c r="J7" s="5" t="s">
        <v>42</v>
      </c>
      <c r="K7" s="6" t="s">
        <v>43</v>
      </c>
      <c r="L7" s="8">
        <v>34</v>
      </c>
      <c r="N7" s="5" t="s">
        <v>44</v>
      </c>
      <c r="O7" s="6" t="s">
        <v>45</v>
      </c>
      <c r="P7" s="8">
        <v>28</v>
      </c>
      <c r="R7" s="6" t="s">
        <v>46</v>
      </c>
      <c r="S7" s="6" t="s">
        <v>47</v>
      </c>
      <c r="T7" s="23">
        <f>PI()*T6^2/4</f>
        <v>7.8539816339744827E-5</v>
      </c>
    </row>
    <row r="8" spans="2:20" ht="18.75" customHeight="1">
      <c r="B8" s="5" t="s">
        <v>48</v>
      </c>
      <c r="C8" s="6" t="s">
        <v>49</v>
      </c>
      <c r="D8" s="7">
        <v>0.86799999999999999</v>
      </c>
      <c r="F8" s="6" t="s">
        <v>50</v>
      </c>
      <c r="G8" s="6" t="s">
        <v>51</v>
      </c>
      <c r="H8" s="9">
        <f>H6-D6</f>
        <v>5.0000000000000044E-3</v>
      </c>
      <c r="J8" s="6" t="s">
        <v>52</v>
      </c>
      <c r="K8" s="6" t="s">
        <v>53</v>
      </c>
      <c r="L8" s="9">
        <f>((L5/2)^2 - (L7/2)^2) * PI() / 1000000</f>
        <v>6.0667295733472494E-2</v>
      </c>
      <c r="N8" s="5" t="s">
        <v>54</v>
      </c>
      <c r="O8" s="6" t="s">
        <v>55</v>
      </c>
      <c r="P8" s="8">
        <v>28</v>
      </c>
      <c r="R8" s="6" t="s">
        <v>56</v>
      </c>
      <c r="S8" s="6" t="s">
        <v>57</v>
      </c>
      <c r="T8" s="23">
        <f>T7*T5+T11</f>
        <v>5.0157079632679492E-2</v>
      </c>
    </row>
    <row r="9" spans="2:20" ht="18.75" customHeight="1">
      <c r="B9" s="6" t="s">
        <v>58</v>
      </c>
      <c r="C9" s="6" t="s">
        <v>59</v>
      </c>
      <c r="D9" s="9">
        <f>D7*D8</f>
        <v>1.6420751936626999E-2</v>
      </c>
      <c r="F9" s="6" t="s">
        <v>60</v>
      </c>
      <c r="G9" s="6" t="s">
        <v>61</v>
      </c>
      <c r="H9" s="9">
        <f>PI()*(H6^2-D6^2)</f>
        <v>2.5164157155254285E-3</v>
      </c>
      <c r="J9" s="6" t="s">
        <v>62</v>
      </c>
      <c r="K9" s="6" t="s">
        <v>63</v>
      </c>
      <c r="L9" s="9">
        <f>((L5/2)^2 - (L7/2)^2) * PI() * L6 / 1000</f>
        <v>1334.6805061363948</v>
      </c>
      <c r="N9" s="6" t="s">
        <v>64</v>
      </c>
      <c r="O9" s="6" t="s">
        <v>65</v>
      </c>
      <c r="P9" s="10">
        <f>P6+P8</f>
        <v>50</v>
      </c>
      <c r="R9" s="5" t="s">
        <v>66</v>
      </c>
      <c r="S9" s="6" t="s">
        <v>67</v>
      </c>
      <c r="T9" s="8">
        <v>1</v>
      </c>
    </row>
    <row r="10" spans="2:20" ht="18.75" customHeight="1">
      <c r="B10" s="5" t="s">
        <v>68</v>
      </c>
      <c r="C10" s="6" t="s">
        <v>69</v>
      </c>
      <c r="D10" s="8">
        <v>10800</v>
      </c>
      <c r="F10" s="6" t="s">
        <v>70</v>
      </c>
      <c r="G10" s="6" t="s">
        <v>71</v>
      </c>
      <c r="H10" s="9">
        <f>H9*H7</f>
        <v>2.1842488410760718E-3</v>
      </c>
      <c r="J10" s="5" t="s">
        <v>72</v>
      </c>
      <c r="K10" s="6" t="s">
        <v>73</v>
      </c>
      <c r="L10" s="8">
        <v>165</v>
      </c>
      <c r="N10" s="5" t="s">
        <v>74</v>
      </c>
      <c r="O10" s="6" t="s">
        <v>75</v>
      </c>
      <c r="P10" s="7">
        <v>0.1</v>
      </c>
      <c r="R10" s="5" t="s">
        <v>76</v>
      </c>
      <c r="S10" s="6" t="s">
        <v>77</v>
      </c>
      <c r="T10" s="19">
        <v>1E-3</v>
      </c>
    </row>
    <row r="11" spans="2:20" ht="18.75" customHeight="1">
      <c r="B11" s="6" t="s">
        <v>78</v>
      </c>
      <c r="C11" s="6" t="s">
        <v>79</v>
      </c>
      <c r="D11" s="9">
        <f>D10/D9/1000000</f>
        <v>0.65770435127944804</v>
      </c>
      <c r="F11" s="5" t="s">
        <v>80</v>
      </c>
      <c r="G11" s="6" t="s">
        <v>81</v>
      </c>
      <c r="H11" s="7">
        <v>7.93</v>
      </c>
      <c r="J11" s="6" t="s">
        <v>82</v>
      </c>
      <c r="K11" s="6" t="s">
        <v>83</v>
      </c>
      <c r="L11" s="9">
        <f>((L5/2)^2 - (L10/2)^2) * PI() * L6 / 1000</f>
        <v>884.24052226101708</v>
      </c>
      <c r="N11" s="5" t="s">
        <v>84</v>
      </c>
      <c r="O11" s="6" t="s">
        <v>85</v>
      </c>
      <c r="P11" s="8">
        <v>18</v>
      </c>
      <c r="R11" s="5"/>
      <c r="S11" s="6" t="s">
        <v>86</v>
      </c>
      <c r="T11" s="19">
        <v>0.05</v>
      </c>
    </row>
    <row r="12" spans="2:20" ht="18.75" customHeight="1">
      <c r="B12" s="5" t="s">
        <v>87</v>
      </c>
      <c r="C12" s="6" t="s">
        <v>88</v>
      </c>
      <c r="D12" s="7">
        <v>1.135</v>
      </c>
      <c r="F12" s="6" t="s">
        <v>89</v>
      </c>
      <c r="G12" s="6" t="s">
        <v>90</v>
      </c>
      <c r="H12" s="9">
        <f>H11*H10*1000000</f>
        <v>17321.093309733249</v>
      </c>
      <c r="J12" s="6" t="s">
        <v>91</v>
      </c>
      <c r="K12" s="6" t="s">
        <v>92</v>
      </c>
      <c r="L12" s="9">
        <f>(L9+L11) * $H$11</f>
        <v>17596.043755191473</v>
      </c>
      <c r="N12" s="6" t="s">
        <v>93</v>
      </c>
      <c r="O12" s="6" t="s">
        <v>94</v>
      </c>
      <c r="P12" s="9">
        <f>P6/P9</f>
        <v>0.44</v>
      </c>
    </row>
    <row r="13" spans="2:20" ht="18.75" customHeight="1">
      <c r="B13" s="5" t="s">
        <v>95</v>
      </c>
      <c r="C13" s="6" t="s">
        <v>96</v>
      </c>
      <c r="D13" s="7">
        <v>0.3</v>
      </c>
      <c r="F13" s="5" t="s">
        <v>97</v>
      </c>
      <c r="G13" s="6" t="s">
        <v>98</v>
      </c>
      <c r="H13" s="7">
        <v>0.59</v>
      </c>
      <c r="N13" s="6" t="s">
        <v>99</v>
      </c>
      <c r="O13" s="6" t="s">
        <v>100</v>
      </c>
      <c r="P13" s="9">
        <f>P8/P9</f>
        <v>0.56000000000000005</v>
      </c>
      <c r="R13" s="12" t="s">
        <v>101</v>
      </c>
      <c r="S13" s="17" t="s">
        <v>102</v>
      </c>
      <c r="T13" s="18"/>
    </row>
    <row r="14" spans="2:20" ht="18.75" customHeight="1">
      <c r="B14" s="5" t="s">
        <v>103</v>
      </c>
      <c r="C14" s="6" t="s">
        <v>104</v>
      </c>
      <c r="D14" s="7">
        <v>0.8</v>
      </c>
      <c r="F14" s="5" t="s">
        <v>105</v>
      </c>
      <c r="G14" s="6" t="s">
        <v>106</v>
      </c>
      <c r="H14" s="7">
        <v>16.7</v>
      </c>
      <c r="J14" s="12" t="s">
        <v>107</v>
      </c>
      <c r="K14" s="17" t="s">
        <v>108</v>
      </c>
      <c r="L14" s="15"/>
      <c r="N14" s="5" t="s">
        <v>109</v>
      </c>
      <c r="O14" s="6" t="s">
        <v>110</v>
      </c>
      <c r="P14" s="7">
        <v>1.8829980740000001</v>
      </c>
      <c r="R14" s="5" t="s">
        <v>111</v>
      </c>
      <c r="S14" s="16" t="s">
        <v>27</v>
      </c>
      <c r="T14" s="8">
        <v>2</v>
      </c>
    </row>
    <row r="15" spans="2:20" ht="18.75" customHeight="1">
      <c r="B15" s="6" t="s">
        <v>112</v>
      </c>
      <c r="C15" s="6" t="s">
        <v>113</v>
      </c>
      <c r="D15" s="10">
        <f>D14*D10</f>
        <v>8640</v>
      </c>
      <c r="F15" s="6" t="s">
        <v>114</v>
      </c>
      <c r="G15" s="6" t="s">
        <v>115</v>
      </c>
      <c r="H15" s="9">
        <f>PI()*H5*H7</f>
        <v>0.45048428033179344</v>
      </c>
      <c r="J15" s="5" t="s">
        <v>22</v>
      </c>
      <c r="K15" s="16" t="s">
        <v>23</v>
      </c>
      <c r="L15" s="8">
        <v>280</v>
      </c>
      <c r="N15" s="5" t="s">
        <v>116</v>
      </c>
      <c r="O15" s="6" t="s">
        <v>117</v>
      </c>
      <c r="P15" s="7">
        <v>1.1922472150000001</v>
      </c>
      <c r="R15" s="5" t="s">
        <v>118</v>
      </c>
      <c r="S15" s="6" t="s">
        <v>37</v>
      </c>
      <c r="T15" s="19">
        <v>2.5000000000000001E-2</v>
      </c>
    </row>
    <row r="16" spans="2:20" ht="18.75" customHeight="1">
      <c r="B16" s="5" t="s">
        <v>119</v>
      </c>
      <c r="C16" s="6" t="s">
        <v>120</v>
      </c>
      <c r="D16" s="7">
        <v>0.36</v>
      </c>
      <c r="F16" s="5" t="s">
        <v>121</v>
      </c>
      <c r="G16" s="6" t="s">
        <v>122</v>
      </c>
      <c r="H16" s="8">
        <v>200</v>
      </c>
      <c r="J16" s="5" t="s">
        <v>32</v>
      </c>
      <c r="K16" s="6" t="s">
        <v>33</v>
      </c>
      <c r="L16" s="8">
        <v>22</v>
      </c>
      <c r="N16" s="6" t="s">
        <v>123</v>
      </c>
      <c r="O16" s="6" t="s">
        <v>124</v>
      </c>
      <c r="P16" s="9">
        <f>P14*P12+P15*P13</f>
        <v>1.4961775929600001</v>
      </c>
      <c r="R16" s="6" t="s">
        <v>125</v>
      </c>
      <c r="S16" s="6" t="s">
        <v>47</v>
      </c>
      <c r="T16" s="22">
        <f>PI()*T15^2/4</f>
        <v>4.9087385212340522E-4</v>
      </c>
    </row>
    <row r="17" spans="2:20" ht="18.75" customHeight="1">
      <c r="B17" s="5" t="s">
        <v>126</v>
      </c>
      <c r="C17" s="6" t="s">
        <v>127</v>
      </c>
      <c r="D17" s="7">
        <v>1E-3</v>
      </c>
      <c r="F17" s="5" t="s">
        <v>128</v>
      </c>
      <c r="G17" s="6" t="s">
        <v>129</v>
      </c>
      <c r="H17" s="8">
        <v>18</v>
      </c>
      <c r="J17" s="5" t="s">
        <v>72</v>
      </c>
      <c r="K17" s="6" t="s">
        <v>43</v>
      </c>
      <c r="L17" s="7">
        <v>60.5</v>
      </c>
      <c r="N17" s="5" t="s">
        <v>130</v>
      </c>
      <c r="O17" s="6" t="s">
        <v>131</v>
      </c>
      <c r="P17" s="7">
        <v>1.6083291999999999E-2</v>
      </c>
      <c r="R17" s="5" t="s">
        <v>132</v>
      </c>
      <c r="S17" s="6" t="s">
        <v>57</v>
      </c>
      <c r="T17" s="21">
        <v>5.0000000000000001E-3</v>
      </c>
    </row>
    <row r="18" spans="2:20" ht="18.75" customHeight="1">
      <c r="B18" s="5" t="s">
        <v>133</v>
      </c>
      <c r="C18" s="6" t="s">
        <v>134</v>
      </c>
      <c r="D18" s="8">
        <v>1</v>
      </c>
      <c r="F18" s="5" t="s">
        <v>135</v>
      </c>
      <c r="G18" s="6" t="s">
        <v>136</v>
      </c>
      <c r="H18" s="7">
        <v>0.19</v>
      </c>
      <c r="J18" s="6" t="s">
        <v>137</v>
      </c>
      <c r="K18" s="6" t="s">
        <v>53</v>
      </c>
      <c r="L18" s="9">
        <f>((L15/2)^2 - (L17/2)^2) * PI() / 1000000</f>
        <v>5.8700462382784431E-2</v>
      </c>
      <c r="N18" s="5" t="s">
        <v>138</v>
      </c>
      <c r="O18" s="6" t="s">
        <v>139</v>
      </c>
      <c r="P18" s="7">
        <v>2.5327674000000001E-2</v>
      </c>
      <c r="R18" s="6" t="s">
        <v>140</v>
      </c>
      <c r="S18" s="6" t="s">
        <v>141</v>
      </c>
      <c r="T18" s="20">
        <f>T17+D22</f>
        <v>1.0911470697185718E-2</v>
      </c>
    </row>
    <row r="19" spans="2:20" ht="18.75" customHeight="1">
      <c r="B19" s="5" t="s">
        <v>142</v>
      </c>
      <c r="C19" s="6" t="s">
        <v>143</v>
      </c>
      <c r="D19" s="8">
        <v>4</v>
      </c>
      <c r="J19" s="6" t="s">
        <v>82</v>
      </c>
      <c r="K19" s="6" t="s">
        <v>63</v>
      </c>
      <c r="L19" s="9">
        <f>((L15/2)^2 - (L17/2)^2) * PI() * L16 / 1000</f>
        <v>1291.4101724212576</v>
      </c>
      <c r="N19" s="6" t="s">
        <v>144</v>
      </c>
      <c r="O19" s="6" t="s">
        <v>145</v>
      </c>
      <c r="P19" s="9">
        <f>P17*P12+P18*P13</f>
        <v>2.1260145920000001E-2</v>
      </c>
    </row>
    <row r="20" spans="2:20" ht="18.75" customHeight="1">
      <c r="B20" s="5" t="s">
        <v>146</v>
      </c>
      <c r="C20" s="6" t="s">
        <v>147</v>
      </c>
      <c r="D20" s="7">
        <v>3.5</v>
      </c>
      <c r="J20" s="5" t="s">
        <v>42</v>
      </c>
      <c r="K20" s="6" t="s">
        <v>73</v>
      </c>
      <c r="L20" s="8">
        <v>165</v>
      </c>
      <c r="N20" s="5" t="s">
        <v>148</v>
      </c>
      <c r="O20" s="6" t="s">
        <v>149</v>
      </c>
      <c r="P20" s="7">
        <v>1.4600000000000001E-5</v>
      </c>
      <c r="R20" s="12" t="s">
        <v>150</v>
      </c>
      <c r="S20" s="17" t="s">
        <v>151</v>
      </c>
      <c r="T20" s="18"/>
    </row>
    <row r="21" spans="2:20" ht="18.75" customHeight="1">
      <c r="B21" s="5" t="s">
        <v>152</v>
      </c>
      <c r="C21" s="6" t="s">
        <v>153</v>
      </c>
      <c r="D21" s="7">
        <v>0.65</v>
      </c>
      <c r="J21" s="6" t="s">
        <v>62</v>
      </c>
      <c r="K21" s="6" t="s">
        <v>83</v>
      </c>
      <c r="L21" s="9">
        <f>((L15/2)^2 - (L20/2)^2) * PI() * L16 / 1000</f>
        <v>884.24052226101708</v>
      </c>
      <c r="N21" s="5" t="s">
        <v>154</v>
      </c>
      <c r="O21" s="6" t="s">
        <v>155</v>
      </c>
      <c r="P21" s="7">
        <v>1.7499999999999998E-5</v>
      </c>
      <c r="R21" s="5" t="s">
        <v>156</v>
      </c>
      <c r="S21" s="16" t="s">
        <v>157</v>
      </c>
      <c r="T21" s="7">
        <v>0.4</v>
      </c>
    </row>
    <row r="22" spans="2:20" ht="18.75" customHeight="1">
      <c r="B22" s="5" t="s">
        <v>158</v>
      </c>
      <c r="C22" s="6" t="s">
        <v>159</v>
      </c>
      <c r="D22" s="9">
        <f>D7*D8*D16</f>
        <v>5.9114706971857191E-3</v>
      </c>
      <c r="J22" s="6" t="s">
        <v>91</v>
      </c>
      <c r="K22" s="6" t="s">
        <v>92</v>
      </c>
      <c r="L22" s="9">
        <f>(L19+L21) * $H$11</f>
        <v>17252.910008830437</v>
      </c>
      <c r="N22" s="6" t="s">
        <v>160</v>
      </c>
      <c r="O22" s="6" t="s">
        <v>161</v>
      </c>
      <c r="P22" s="9">
        <f>P20*P12+P21*P13</f>
        <v>1.6223999999999999E-5</v>
      </c>
      <c r="R22" s="5" t="s">
        <v>162</v>
      </c>
      <c r="S22" s="6" t="s">
        <v>163</v>
      </c>
      <c r="T22" s="8">
        <v>1</v>
      </c>
    </row>
    <row r="23" spans="2:20" ht="18.75" customHeight="1">
      <c r="B23" s="5" t="s">
        <v>164</v>
      </c>
      <c r="C23" s="6" t="s">
        <v>165</v>
      </c>
      <c r="D23" s="19">
        <v>7.0000000000000007E-2</v>
      </c>
      <c r="N23" s="5" t="s">
        <v>166</v>
      </c>
      <c r="O23" s="6" t="s">
        <v>167</v>
      </c>
      <c r="P23" s="7">
        <v>411.4</v>
      </c>
      <c r="R23" s="5" t="s">
        <v>168</v>
      </c>
      <c r="S23" s="6" t="s">
        <v>169</v>
      </c>
      <c r="T23" s="8">
        <v>1</v>
      </c>
    </row>
    <row r="24" spans="2:20" ht="18.75" customHeight="1">
      <c r="B24" s="5"/>
      <c r="C24" s="6" t="s">
        <v>170</v>
      </c>
      <c r="D24" s="19">
        <v>5.0000000000000001E-3</v>
      </c>
      <c r="N24" s="5" t="s">
        <v>171</v>
      </c>
      <c r="O24" s="6" t="s">
        <v>172</v>
      </c>
      <c r="P24" s="7">
        <v>0.84426034000000005</v>
      </c>
    </row>
    <row r="25" spans="2:20" ht="18.75" customHeight="1">
      <c r="B25" s="5" t="s">
        <v>173</v>
      </c>
      <c r="C25" s="6" t="s">
        <v>174</v>
      </c>
      <c r="D25" s="8">
        <v>38</v>
      </c>
      <c r="N25" s="5" t="s">
        <v>175</v>
      </c>
      <c r="O25" s="6" t="s">
        <v>176</v>
      </c>
      <c r="P25" s="7">
        <v>1.0413669560000001</v>
      </c>
    </row>
    <row r="26" spans="2:20" ht="18.75" customHeight="1">
      <c r="N26" s="6" t="s">
        <v>177</v>
      </c>
      <c r="O26" s="6" t="s">
        <v>178</v>
      </c>
      <c r="P26" s="9">
        <f>P24*P12+P25*P13</f>
        <v>0.9546400449600001</v>
      </c>
    </row>
    <row r="27" spans="2:20" ht="18.75" customHeight="1">
      <c r="N27" s="6" t="s">
        <v>179</v>
      </c>
      <c r="O27" s="6" t="s">
        <v>180</v>
      </c>
      <c r="P27" s="9">
        <f>P26*(P6/22.4*P5*60/1000 + P8/22.4*P7*60/1000)</f>
        <v>4.4799893538480005</v>
      </c>
    </row>
    <row r="28" spans="2:20" ht="18.75" customHeight="1">
      <c r="N28" s="5" t="s">
        <v>181</v>
      </c>
      <c r="O28" s="6" t="s">
        <v>182</v>
      </c>
      <c r="P28" s="8">
        <v>700</v>
      </c>
    </row>
    <row r="29" spans="2:20" ht="18.75" customHeight="1">
      <c r="N29" s="5" t="s">
        <v>183</v>
      </c>
      <c r="O29" s="6" t="s">
        <v>184</v>
      </c>
      <c r="P29" s="7">
        <v>642.9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AB67-3573-4679-9033-9AB5AB93C6EF}">
  <sheetPr>
    <outlinePr summaryBelow="0"/>
  </sheetPr>
  <dimension ref="B1:T29"/>
  <sheetViews>
    <sheetView workbookViewId="0">
      <selection activeCell="E25" sqref="E25"/>
    </sheetView>
  </sheetViews>
  <sheetFormatPr defaultRowHeight="13.15"/>
  <cols>
    <col min="1" max="1" width="2" bestFit="1" customWidth="1"/>
    <col min="2" max="2" width="28.28515625" bestFit="1" customWidth="1"/>
    <col min="3" max="3" width="11.28515625" bestFit="1" customWidth="1"/>
    <col min="4" max="4" width="16.7109375" style="1" bestFit="1" customWidth="1"/>
    <col min="5" max="5" width="3.85546875" bestFit="1" customWidth="1"/>
    <col min="6" max="6" width="30.7109375" bestFit="1" customWidth="1"/>
    <col min="7" max="7" width="12" bestFit="1" customWidth="1"/>
    <col min="8" max="8" width="16.7109375" style="2" bestFit="1" customWidth="1"/>
    <col min="9" max="9" width="2.5703125" bestFit="1" customWidth="1"/>
    <col min="10" max="10" width="33.5703125" bestFit="1" customWidth="1"/>
    <col min="11" max="11" width="14.28515625" bestFit="1" customWidth="1"/>
    <col min="12" max="12" width="17.28515625" style="2" bestFit="1" customWidth="1"/>
    <col min="13" max="13" width="2.28515625" bestFit="1" customWidth="1"/>
    <col min="14" max="14" width="35.7109375" bestFit="1" customWidth="1"/>
    <col min="15" max="15" width="13.28515625" customWidth="1"/>
    <col min="16" max="16" width="18.28515625" style="3" bestFit="1" customWidth="1"/>
    <col min="17" max="17" width="2.5703125" bestFit="1" customWidth="1"/>
    <col min="18" max="18" width="40.7109375" bestFit="1" customWidth="1"/>
    <col min="19" max="19" width="19" bestFit="1" customWidth="1"/>
    <col min="20" max="20" width="16.28515625" style="1" bestFit="1" customWidth="1"/>
  </cols>
  <sheetData>
    <row r="1" spans="2:20" ht="8.65" customHeight="1"/>
    <row r="2" spans="2:20" ht="18.75" customHeight="1">
      <c r="B2" s="4" t="s">
        <v>185</v>
      </c>
      <c r="C2" s="4"/>
    </row>
    <row r="3" spans="2:20" ht="6" customHeight="1"/>
    <row r="4" spans="2:20" ht="18.75" customHeight="1">
      <c r="B4" s="12" t="s">
        <v>8</v>
      </c>
      <c r="C4" s="13" t="s">
        <v>9</v>
      </c>
      <c r="D4" s="14"/>
      <c r="F4" s="12" t="s">
        <v>10</v>
      </c>
      <c r="G4" s="17" t="s">
        <v>11</v>
      </c>
      <c r="H4" s="15"/>
      <c r="J4" s="12" t="s">
        <v>12</v>
      </c>
      <c r="K4" s="17" t="s">
        <v>13</v>
      </c>
      <c r="L4" s="15"/>
      <c r="N4" s="12" t="s">
        <v>14</v>
      </c>
      <c r="O4" s="17" t="s">
        <v>15</v>
      </c>
      <c r="P4" s="15"/>
      <c r="R4" s="12" t="s">
        <v>16</v>
      </c>
      <c r="S4" s="17" t="s">
        <v>17</v>
      </c>
      <c r="T4" s="18"/>
    </row>
    <row r="5" spans="2:20" ht="18.75" customHeight="1">
      <c r="B5" s="5" t="s">
        <v>18</v>
      </c>
      <c r="C5" s="6" t="s">
        <v>19</v>
      </c>
      <c r="D5" s="7">
        <v>0.1552</v>
      </c>
      <c r="F5" s="5" t="s">
        <v>20</v>
      </c>
      <c r="G5" s="16" t="s">
        <v>21</v>
      </c>
      <c r="H5" s="7">
        <v>0.16520000000000001</v>
      </c>
      <c r="J5" s="5" t="s">
        <v>22</v>
      </c>
      <c r="K5" s="16" t="s">
        <v>23</v>
      </c>
      <c r="L5" s="8">
        <v>280</v>
      </c>
      <c r="N5" s="5" t="s">
        <v>24</v>
      </c>
      <c r="O5" s="16" t="s">
        <v>25</v>
      </c>
      <c r="P5" s="8">
        <v>44</v>
      </c>
      <c r="R5" s="5" t="s">
        <v>26</v>
      </c>
      <c r="S5" s="16" t="s">
        <v>27</v>
      </c>
      <c r="T5" s="8">
        <v>2</v>
      </c>
    </row>
    <row r="6" spans="2:20" ht="18.75" customHeight="1">
      <c r="B6" s="6" t="s">
        <v>28</v>
      </c>
      <c r="C6" s="6" t="s">
        <v>29</v>
      </c>
      <c r="D6" s="9">
        <f>D5/2</f>
        <v>7.7600000000000002E-2</v>
      </c>
      <c r="F6" s="6" t="s">
        <v>30</v>
      </c>
      <c r="G6" s="6" t="s">
        <v>31</v>
      </c>
      <c r="H6" s="9">
        <f>H5/2</f>
        <v>8.2600000000000007E-2</v>
      </c>
      <c r="J6" s="5" t="s">
        <v>32</v>
      </c>
      <c r="K6" s="6" t="s">
        <v>33</v>
      </c>
      <c r="L6" s="8">
        <v>22</v>
      </c>
      <c r="N6" s="5" t="s">
        <v>34</v>
      </c>
      <c r="O6" s="6" t="s">
        <v>35</v>
      </c>
      <c r="P6" s="8">
        <v>22</v>
      </c>
      <c r="R6" s="5" t="s">
        <v>36</v>
      </c>
      <c r="S6" s="6" t="s">
        <v>37</v>
      </c>
      <c r="T6" s="7">
        <v>0.01</v>
      </c>
    </row>
    <row r="7" spans="2:20" ht="18.75" customHeight="1">
      <c r="B7" s="6" t="s">
        <v>38</v>
      </c>
      <c r="C7" s="6" t="s">
        <v>39</v>
      </c>
      <c r="D7" s="9">
        <f>PI()*D6^2</f>
        <v>1.8917916977680874E-2</v>
      </c>
      <c r="F7" s="6" t="s">
        <v>40</v>
      </c>
      <c r="G7" s="6" t="s">
        <v>41</v>
      </c>
      <c r="H7" s="9">
        <f>D8</f>
        <v>0.86799999999999999</v>
      </c>
      <c r="J7" s="5" t="s">
        <v>42</v>
      </c>
      <c r="K7" s="6" t="s">
        <v>43</v>
      </c>
      <c r="L7" s="8">
        <v>34</v>
      </c>
      <c r="N7" s="5" t="s">
        <v>44</v>
      </c>
      <c r="O7" s="6" t="s">
        <v>45</v>
      </c>
      <c r="P7" s="8">
        <v>28</v>
      </c>
      <c r="R7" s="6" t="s">
        <v>46</v>
      </c>
      <c r="S7" s="6" t="s">
        <v>47</v>
      </c>
      <c r="T7" s="23">
        <f>PI()*T6^2/4</f>
        <v>7.8539816339744827E-5</v>
      </c>
    </row>
    <row r="8" spans="2:20" ht="18.75" customHeight="1">
      <c r="B8" s="5" t="s">
        <v>48</v>
      </c>
      <c r="C8" s="6" t="s">
        <v>49</v>
      </c>
      <c r="D8" s="7">
        <v>0.86799999999999999</v>
      </c>
      <c r="F8" s="6" t="s">
        <v>50</v>
      </c>
      <c r="G8" s="6" t="s">
        <v>51</v>
      </c>
      <c r="H8" s="9">
        <f>H6-D6</f>
        <v>5.0000000000000044E-3</v>
      </c>
      <c r="J8" s="6" t="s">
        <v>52</v>
      </c>
      <c r="K8" s="6" t="s">
        <v>53</v>
      </c>
      <c r="L8" s="9">
        <f>((L5/2)^2 - (L7/2)^2) * PI() / 1000000</f>
        <v>6.0667295733472494E-2</v>
      </c>
      <c r="N8" s="5" t="s">
        <v>54</v>
      </c>
      <c r="O8" s="6" t="s">
        <v>55</v>
      </c>
      <c r="P8" s="8">
        <v>28</v>
      </c>
      <c r="R8" s="6" t="s">
        <v>56</v>
      </c>
      <c r="S8" s="6" t="s">
        <v>57</v>
      </c>
      <c r="T8" s="23">
        <f>T7*T5+T11</f>
        <v>5.0157079632679492E-2</v>
      </c>
    </row>
    <row r="9" spans="2:20" ht="18.75" customHeight="1">
      <c r="B9" s="6" t="s">
        <v>58</v>
      </c>
      <c r="C9" s="6" t="s">
        <v>59</v>
      </c>
      <c r="D9" s="9">
        <f>D7*D8</f>
        <v>1.6420751936626999E-2</v>
      </c>
      <c r="F9" s="6" t="s">
        <v>60</v>
      </c>
      <c r="G9" s="6" t="s">
        <v>61</v>
      </c>
      <c r="H9" s="9">
        <f>PI()*(H6^2-D6^2)</f>
        <v>2.5164157155254285E-3</v>
      </c>
      <c r="J9" s="6" t="s">
        <v>62</v>
      </c>
      <c r="K9" s="6" t="s">
        <v>63</v>
      </c>
      <c r="L9" s="9">
        <f>((L5/2)^2 - (L7/2)^2) * PI() * L6 / 1000</f>
        <v>1334.6805061363948</v>
      </c>
      <c r="N9" s="6" t="s">
        <v>64</v>
      </c>
      <c r="O9" s="6" t="s">
        <v>65</v>
      </c>
      <c r="P9" s="10">
        <f>P6+P8</f>
        <v>50</v>
      </c>
      <c r="R9" s="5" t="s">
        <v>66</v>
      </c>
      <c r="S9" s="6" t="s">
        <v>67</v>
      </c>
      <c r="T9" s="8">
        <v>1</v>
      </c>
    </row>
    <row r="10" spans="2:20" ht="18.75" customHeight="1">
      <c r="B10" s="5" t="s">
        <v>68</v>
      </c>
      <c r="C10" s="6" t="s">
        <v>69</v>
      </c>
      <c r="D10" s="8">
        <v>10800</v>
      </c>
      <c r="F10" s="6" t="s">
        <v>70</v>
      </c>
      <c r="G10" s="6" t="s">
        <v>71</v>
      </c>
      <c r="H10" s="9">
        <f>H9*H7</f>
        <v>2.1842488410760718E-3</v>
      </c>
      <c r="J10" s="5" t="s">
        <v>72</v>
      </c>
      <c r="K10" s="6" t="s">
        <v>73</v>
      </c>
      <c r="L10" s="8">
        <v>165</v>
      </c>
      <c r="N10" s="5" t="s">
        <v>74</v>
      </c>
      <c r="O10" s="6" t="s">
        <v>75</v>
      </c>
      <c r="P10" s="7">
        <v>0.1</v>
      </c>
      <c r="R10" s="5" t="s">
        <v>76</v>
      </c>
      <c r="S10" s="6" t="s">
        <v>77</v>
      </c>
      <c r="T10" s="19">
        <v>1E-3</v>
      </c>
    </row>
    <row r="11" spans="2:20" ht="18.75" customHeight="1">
      <c r="B11" s="6" t="s">
        <v>78</v>
      </c>
      <c r="C11" s="6" t="s">
        <v>79</v>
      </c>
      <c r="D11" s="9">
        <f>D10/D9/1000000</f>
        <v>0.65770435127944804</v>
      </c>
      <c r="F11" s="5" t="s">
        <v>80</v>
      </c>
      <c r="G11" s="6" t="s">
        <v>81</v>
      </c>
      <c r="H11" s="7">
        <v>7.93</v>
      </c>
      <c r="J11" s="6" t="s">
        <v>82</v>
      </c>
      <c r="K11" s="6" t="s">
        <v>83</v>
      </c>
      <c r="L11" s="9">
        <f>((L5/2)^2 - (L10/2)^2) * PI() * L6 / 1000</f>
        <v>884.24052226101708</v>
      </c>
      <c r="N11" s="5" t="s">
        <v>84</v>
      </c>
      <c r="O11" s="6" t="s">
        <v>85</v>
      </c>
      <c r="P11" s="8">
        <v>18</v>
      </c>
      <c r="R11" s="5"/>
      <c r="S11" s="6" t="s">
        <v>86</v>
      </c>
      <c r="T11" s="19">
        <v>0.05</v>
      </c>
    </row>
    <row r="12" spans="2:20" ht="18.75" customHeight="1">
      <c r="B12" s="5" t="s">
        <v>87</v>
      </c>
      <c r="C12" s="6" t="s">
        <v>88</v>
      </c>
      <c r="D12" s="7">
        <v>1.135</v>
      </c>
      <c r="F12" s="6" t="s">
        <v>89</v>
      </c>
      <c r="G12" s="6" t="s">
        <v>90</v>
      </c>
      <c r="H12" s="9">
        <f>H11*H10*1000000</f>
        <v>17321.093309733249</v>
      </c>
      <c r="J12" s="6" t="s">
        <v>91</v>
      </c>
      <c r="K12" s="6" t="s">
        <v>92</v>
      </c>
      <c r="L12" s="9">
        <f>(L9+L11) * $H$11</f>
        <v>17596.043755191473</v>
      </c>
      <c r="N12" s="6" t="s">
        <v>93</v>
      </c>
      <c r="O12" s="6" t="s">
        <v>94</v>
      </c>
      <c r="P12" s="9">
        <f>P6/P9</f>
        <v>0.44</v>
      </c>
    </row>
    <row r="13" spans="2:20" ht="18.75" customHeight="1">
      <c r="B13" s="5" t="s">
        <v>95</v>
      </c>
      <c r="C13" s="6" t="s">
        <v>96</v>
      </c>
      <c r="D13" s="7">
        <v>0.3</v>
      </c>
      <c r="F13" s="5" t="s">
        <v>97</v>
      </c>
      <c r="G13" s="6" t="s">
        <v>98</v>
      </c>
      <c r="H13" s="7">
        <v>0.59</v>
      </c>
      <c r="N13" s="6" t="s">
        <v>99</v>
      </c>
      <c r="O13" s="6" t="s">
        <v>100</v>
      </c>
      <c r="P13" s="9">
        <f>P8/P9</f>
        <v>0.56000000000000005</v>
      </c>
      <c r="R13" s="12" t="s">
        <v>101</v>
      </c>
      <c r="S13" s="17" t="s">
        <v>102</v>
      </c>
      <c r="T13" s="18"/>
    </row>
    <row r="14" spans="2:20" ht="18.75" customHeight="1">
      <c r="B14" s="5" t="s">
        <v>103</v>
      </c>
      <c r="C14" s="6" t="s">
        <v>104</v>
      </c>
      <c r="D14" s="7">
        <v>0.8</v>
      </c>
      <c r="F14" s="5" t="s">
        <v>105</v>
      </c>
      <c r="G14" s="6" t="s">
        <v>106</v>
      </c>
      <c r="H14" s="7">
        <v>16.7</v>
      </c>
      <c r="J14" s="12" t="s">
        <v>107</v>
      </c>
      <c r="K14" s="17" t="s">
        <v>108</v>
      </c>
      <c r="L14" s="15"/>
      <c r="N14" s="5" t="s">
        <v>109</v>
      </c>
      <c r="O14" s="6" t="s">
        <v>110</v>
      </c>
      <c r="P14" s="7">
        <v>1.8829980740000001</v>
      </c>
      <c r="R14" s="5" t="s">
        <v>111</v>
      </c>
      <c r="S14" s="16" t="s">
        <v>27</v>
      </c>
      <c r="T14" s="8">
        <v>2</v>
      </c>
    </row>
    <row r="15" spans="2:20" ht="18.75" customHeight="1">
      <c r="B15" s="6" t="s">
        <v>112</v>
      </c>
      <c r="C15" s="6" t="s">
        <v>113</v>
      </c>
      <c r="D15" s="10">
        <f>D14*D10</f>
        <v>8640</v>
      </c>
      <c r="F15" s="6" t="s">
        <v>114</v>
      </c>
      <c r="G15" s="6" t="s">
        <v>115</v>
      </c>
      <c r="H15" s="9">
        <f>PI()*H5*H7</f>
        <v>0.45048428033179344</v>
      </c>
      <c r="J15" s="5" t="s">
        <v>22</v>
      </c>
      <c r="K15" s="16" t="s">
        <v>23</v>
      </c>
      <c r="L15" s="8">
        <v>280</v>
      </c>
      <c r="N15" s="5" t="s">
        <v>116</v>
      </c>
      <c r="O15" s="6" t="s">
        <v>117</v>
      </c>
      <c r="P15" s="7">
        <v>1.1922472150000001</v>
      </c>
      <c r="R15" s="5" t="s">
        <v>118</v>
      </c>
      <c r="S15" s="6" t="s">
        <v>37</v>
      </c>
      <c r="T15" s="19">
        <v>2.5000000000000001E-2</v>
      </c>
    </row>
    <row r="16" spans="2:20" ht="18.75" customHeight="1">
      <c r="B16" s="5" t="s">
        <v>119</v>
      </c>
      <c r="C16" s="6" t="s">
        <v>120</v>
      </c>
      <c r="D16" s="7">
        <v>0.36</v>
      </c>
      <c r="F16" s="5" t="s">
        <v>121</v>
      </c>
      <c r="G16" s="6" t="s">
        <v>122</v>
      </c>
      <c r="H16" s="8">
        <v>200</v>
      </c>
      <c r="J16" s="5" t="s">
        <v>32</v>
      </c>
      <c r="K16" s="6" t="s">
        <v>33</v>
      </c>
      <c r="L16" s="8">
        <v>22</v>
      </c>
      <c r="N16" s="6" t="s">
        <v>123</v>
      </c>
      <c r="O16" s="6" t="s">
        <v>124</v>
      </c>
      <c r="P16" s="9">
        <f>P14*P12+P15*P13</f>
        <v>1.4961775929600001</v>
      </c>
      <c r="R16" s="6" t="s">
        <v>125</v>
      </c>
      <c r="S16" s="6" t="s">
        <v>47</v>
      </c>
      <c r="T16" s="9">
        <f>PI()*T15^2/4</f>
        <v>4.9087385212340522E-4</v>
      </c>
    </row>
    <row r="17" spans="2:20" ht="18.75" customHeight="1">
      <c r="B17" s="5" t="s">
        <v>126</v>
      </c>
      <c r="C17" s="6" t="s">
        <v>127</v>
      </c>
      <c r="D17" s="7">
        <v>1E-3</v>
      </c>
      <c r="F17" s="5" t="s">
        <v>128</v>
      </c>
      <c r="G17" s="6" t="s">
        <v>129</v>
      </c>
      <c r="H17" s="8">
        <v>16</v>
      </c>
      <c r="J17" s="5" t="s">
        <v>72</v>
      </c>
      <c r="K17" s="6" t="s">
        <v>43</v>
      </c>
      <c r="L17" s="7">
        <v>60.5</v>
      </c>
      <c r="N17" s="5" t="s">
        <v>130</v>
      </c>
      <c r="O17" s="6" t="s">
        <v>131</v>
      </c>
      <c r="P17" s="7">
        <v>1.6083291999999999E-2</v>
      </c>
      <c r="R17" s="5" t="s">
        <v>132</v>
      </c>
      <c r="S17" s="6" t="s">
        <v>57</v>
      </c>
      <c r="T17" s="21">
        <v>5.0000000000000001E-3</v>
      </c>
    </row>
    <row r="18" spans="2:20" ht="18.75" customHeight="1">
      <c r="B18" s="5" t="s">
        <v>133</v>
      </c>
      <c r="C18" s="6" t="s">
        <v>134</v>
      </c>
      <c r="D18" s="8">
        <v>1</v>
      </c>
      <c r="F18" s="5" t="s">
        <v>135</v>
      </c>
      <c r="G18" s="6" t="s">
        <v>136</v>
      </c>
      <c r="H18" s="7">
        <v>0.19</v>
      </c>
      <c r="J18" s="6" t="s">
        <v>137</v>
      </c>
      <c r="K18" s="6" t="s">
        <v>53</v>
      </c>
      <c r="L18" s="9">
        <f>((L15/2)^2 - (L17/2)^2) * PI() / 1000000</f>
        <v>5.8700462382784431E-2</v>
      </c>
      <c r="N18" s="5" t="s">
        <v>138</v>
      </c>
      <c r="O18" s="6" t="s">
        <v>139</v>
      </c>
      <c r="P18" s="7">
        <v>2.5327674000000001E-2</v>
      </c>
      <c r="R18" s="6" t="s">
        <v>140</v>
      </c>
      <c r="S18" s="6" t="s">
        <v>141</v>
      </c>
      <c r="T18" s="9">
        <f>T17+D22</f>
        <v>1.0911470697185718E-2</v>
      </c>
    </row>
    <row r="19" spans="2:20" ht="18.75" customHeight="1">
      <c r="B19" s="5" t="s">
        <v>142</v>
      </c>
      <c r="C19" s="6" t="s">
        <v>143</v>
      </c>
      <c r="D19" s="8">
        <v>4</v>
      </c>
      <c r="J19" s="6" t="s">
        <v>82</v>
      </c>
      <c r="K19" s="6" t="s">
        <v>63</v>
      </c>
      <c r="L19" s="9">
        <f>((L15/2)^2 - (L17/2)^2) * PI() * L16 / 1000</f>
        <v>1291.4101724212576</v>
      </c>
      <c r="N19" s="6" t="s">
        <v>144</v>
      </c>
      <c r="O19" s="6" t="s">
        <v>145</v>
      </c>
      <c r="P19" s="9">
        <f>P17*P12+P18*P13</f>
        <v>2.1260145920000001E-2</v>
      </c>
    </row>
    <row r="20" spans="2:20" ht="18.75" customHeight="1">
      <c r="B20" s="5" t="s">
        <v>146</v>
      </c>
      <c r="C20" s="6" t="s">
        <v>147</v>
      </c>
      <c r="D20" s="7">
        <v>3.5</v>
      </c>
      <c r="J20" s="5" t="s">
        <v>42</v>
      </c>
      <c r="K20" s="6" t="s">
        <v>73</v>
      </c>
      <c r="L20" s="8">
        <v>165</v>
      </c>
      <c r="N20" s="5" t="s">
        <v>148</v>
      </c>
      <c r="O20" s="6" t="s">
        <v>149</v>
      </c>
      <c r="P20" s="7">
        <v>1.4600000000000001E-5</v>
      </c>
      <c r="R20" s="12" t="s">
        <v>150</v>
      </c>
      <c r="S20" s="17" t="s">
        <v>151</v>
      </c>
      <c r="T20" s="18"/>
    </row>
    <row r="21" spans="2:20" ht="18.75" customHeight="1">
      <c r="B21" s="5" t="s">
        <v>152</v>
      </c>
      <c r="C21" s="6" t="s">
        <v>153</v>
      </c>
      <c r="D21" s="7">
        <v>0.65</v>
      </c>
      <c r="J21" s="6" t="s">
        <v>62</v>
      </c>
      <c r="K21" s="6" t="s">
        <v>83</v>
      </c>
      <c r="L21" s="9">
        <f>((L15/2)^2 - (L20/2)^2) * PI() * L16 / 1000</f>
        <v>884.24052226101708</v>
      </c>
      <c r="N21" s="5" t="s">
        <v>154</v>
      </c>
      <c r="O21" s="6" t="s">
        <v>155</v>
      </c>
      <c r="P21" s="7">
        <v>1.7499999999999998E-5</v>
      </c>
      <c r="R21" s="5" t="s">
        <v>156</v>
      </c>
      <c r="S21" s="16" t="s">
        <v>157</v>
      </c>
      <c r="T21" s="7">
        <v>0.4</v>
      </c>
    </row>
    <row r="22" spans="2:20" ht="18.75" customHeight="1">
      <c r="B22" s="5" t="s">
        <v>158</v>
      </c>
      <c r="C22" s="6" t="s">
        <v>159</v>
      </c>
      <c r="D22" s="9">
        <f>D7*D8*D16</f>
        <v>5.9114706971857191E-3</v>
      </c>
      <c r="J22" s="6" t="s">
        <v>91</v>
      </c>
      <c r="K22" s="6" t="s">
        <v>92</v>
      </c>
      <c r="L22" s="9">
        <f>(L19+L21) * $H$11</f>
        <v>17252.910008830437</v>
      </c>
      <c r="N22" s="6" t="s">
        <v>160</v>
      </c>
      <c r="O22" s="6" t="s">
        <v>161</v>
      </c>
      <c r="P22" s="9">
        <f>P20*P12+P21*P13</f>
        <v>1.6223999999999999E-5</v>
      </c>
      <c r="R22" s="5" t="s">
        <v>162</v>
      </c>
      <c r="S22" s="6" t="s">
        <v>163</v>
      </c>
      <c r="T22" s="8">
        <v>1</v>
      </c>
    </row>
    <row r="23" spans="2:20" ht="18.75" customHeight="1">
      <c r="B23" s="5" t="s">
        <v>164</v>
      </c>
      <c r="C23" s="6" t="s">
        <v>165</v>
      </c>
      <c r="D23" s="19">
        <v>7.0000000000000007E-2</v>
      </c>
      <c r="N23" s="5" t="s">
        <v>166</v>
      </c>
      <c r="O23" s="6" t="s">
        <v>167</v>
      </c>
      <c r="P23" s="7">
        <v>411.4</v>
      </c>
      <c r="R23" s="5" t="s">
        <v>168</v>
      </c>
      <c r="S23" s="6" t="s">
        <v>169</v>
      </c>
      <c r="T23" s="8">
        <v>1</v>
      </c>
    </row>
    <row r="24" spans="2:20" ht="18.75" customHeight="1">
      <c r="B24" s="5"/>
      <c r="C24" s="6" t="s">
        <v>170</v>
      </c>
      <c r="D24" s="19">
        <v>5.0000000000000001E-3</v>
      </c>
      <c r="N24" s="5" t="s">
        <v>171</v>
      </c>
      <c r="O24" s="6" t="s">
        <v>172</v>
      </c>
      <c r="P24" s="7">
        <v>0.84426034000000005</v>
      </c>
    </row>
    <row r="25" spans="2:20" ht="18.75" customHeight="1">
      <c r="B25" s="5" t="s">
        <v>173</v>
      </c>
      <c r="C25" s="6" t="s">
        <v>174</v>
      </c>
      <c r="D25" s="8">
        <v>38</v>
      </c>
      <c r="N25" s="5" t="s">
        <v>175</v>
      </c>
      <c r="O25" s="6" t="s">
        <v>176</v>
      </c>
      <c r="P25" s="7">
        <v>1.0413669560000001</v>
      </c>
    </row>
    <row r="26" spans="2:20" ht="18.75" customHeight="1">
      <c r="N26" s="6" t="s">
        <v>177</v>
      </c>
      <c r="O26" s="6" t="s">
        <v>178</v>
      </c>
      <c r="P26" s="9">
        <f>P24*P12+P25*P13</f>
        <v>0.9546400449600001</v>
      </c>
    </row>
    <row r="27" spans="2:20" ht="18.75" customHeight="1">
      <c r="N27" s="6" t="s">
        <v>179</v>
      </c>
      <c r="O27" s="6" t="s">
        <v>180</v>
      </c>
      <c r="P27" s="9">
        <f>P26*(P6/22.4*P5*60/1000 + P8/22.4*P7*60/1000)</f>
        <v>4.4799893538480005</v>
      </c>
    </row>
    <row r="28" spans="2:20" ht="18.75" customHeight="1">
      <c r="N28" s="5" t="s">
        <v>181</v>
      </c>
      <c r="O28" s="6" t="s">
        <v>182</v>
      </c>
      <c r="P28" s="8">
        <v>700</v>
      </c>
    </row>
    <row r="29" spans="2:20" ht="18.75" customHeight="1">
      <c r="N29" s="5" t="s">
        <v>183</v>
      </c>
      <c r="O29" s="6" t="s">
        <v>184</v>
      </c>
      <c r="P29" s="7">
        <v>642.9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8C5A-F49C-45DB-990B-C32AB0619CDC}">
  <sheetPr>
    <outlinePr summaryBelow="0"/>
  </sheetPr>
  <dimension ref="B1:T29"/>
  <sheetViews>
    <sheetView workbookViewId="0">
      <selection activeCell="E25" sqref="E25"/>
    </sheetView>
  </sheetViews>
  <sheetFormatPr defaultRowHeight="13.15"/>
  <cols>
    <col min="1" max="1" width="2" bestFit="1" customWidth="1"/>
    <col min="2" max="2" width="28.28515625" bestFit="1" customWidth="1"/>
    <col min="3" max="3" width="11.28515625" bestFit="1" customWidth="1"/>
    <col min="4" max="4" width="16.7109375" style="1" bestFit="1" customWidth="1"/>
    <col min="5" max="5" width="3.85546875" bestFit="1" customWidth="1"/>
    <col min="6" max="6" width="30.7109375" bestFit="1" customWidth="1"/>
    <col min="7" max="7" width="12" bestFit="1" customWidth="1"/>
    <col min="8" max="8" width="16.7109375" style="2" bestFit="1" customWidth="1"/>
    <col min="9" max="9" width="2.5703125" bestFit="1" customWidth="1"/>
    <col min="10" max="10" width="33.5703125" bestFit="1" customWidth="1"/>
    <col min="11" max="11" width="14.28515625" bestFit="1" customWidth="1"/>
    <col min="12" max="12" width="17.28515625" style="2" bestFit="1" customWidth="1"/>
    <col min="13" max="13" width="2.28515625" bestFit="1" customWidth="1"/>
    <col min="14" max="14" width="35.7109375" bestFit="1" customWidth="1"/>
    <col min="15" max="15" width="13.28515625" customWidth="1"/>
    <col min="16" max="16" width="18.28515625" style="3" bestFit="1" customWidth="1"/>
    <col min="17" max="17" width="2.5703125" bestFit="1" customWidth="1"/>
    <col min="18" max="18" width="40.7109375" bestFit="1" customWidth="1"/>
    <col min="19" max="19" width="19" bestFit="1" customWidth="1"/>
    <col min="20" max="20" width="16.28515625" style="1" bestFit="1" customWidth="1"/>
  </cols>
  <sheetData>
    <row r="1" spans="2:20" ht="8.65" customHeight="1"/>
    <row r="2" spans="2:20" ht="18.75" customHeight="1">
      <c r="B2" s="4" t="s">
        <v>186</v>
      </c>
      <c r="C2" s="4"/>
    </row>
    <row r="3" spans="2:20" ht="6" customHeight="1"/>
    <row r="4" spans="2:20" ht="18.75" customHeight="1">
      <c r="B4" s="12" t="s">
        <v>8</v>
      </c>
      <c r="C4" s="13" t="s">
        <v>9</v>
      </c>
      <c r="D4" s="14"/>
      <c r="F4" s="12" t="s">
        <v>10</v>
      </c>
      <c r="G4" s="17" t="s">
        <v>11</v>
      </c>
      <c r="H4" s="15"/>
      <c r="J4" s="12" t="s">
        <v>12</v>
      </c>
      <c r="K4" s="17" t="s">
        <v>13</v>
      </c>
      <c r="L4" s="15"/>
      <c r="N4" s="12" t="s">
        <v>14</v>
      </c>
      <c r="O4" s="17" t="s">
        <v>15</v>
      </c>
      <c r="P4" s="15"/>
      <c r="R4" s="12" t="s">
        <v>16</v>
      </c>
      <c r="S4" s="17" t="s">
        <v>17</v>
      </c>
      <c r="T4" s="18"/>
    </row>
    <row r="5" spans="2:20" ht="18.75" customHeight="1">
      <c r="B5" s="5" t="s">
        <v>18</v>
      </c>
      <c r="C5" s="6" t="s">
        <v>19</v>
      </c>
      <c r="D5" s="7">
        <v>0.1552</v>
      </c>
      <c r="F5" s="5" t="s">
        <v>20</v>
      </c>
      <c r="G5" s="16" t="s">
        <v>21</v>
      </c>
      <c r="H5" s="7">
        <v>0.16520000000000001</v>
      </c>
      <c r="J5" s="5" t="s">
        <v>22</v>
      </c>
      <c r="K5" s="16" t="s">
        <v>23</v>
      </c>
      <c r="L5" s="8">
        <v>280</v>
      </c>
      <c r="N5" s="5" t="s">
        <v>24</v>
      </c>
      <c r="O5" s="16" t="s">
        <v>25</v>
      </c>
      <c r="P5" s="8">
        <v>44</v>
      </c>
      <c r="R5" s="5" t="s">
        <v>26</v>
      </c>
      <c r="S5" s="16" t="s">
        <v>27</v>
      </c>
      <c r="T5" s="8">
        <v>2</v>
      </c>
    </row>
    <row r="6" spans="2:20" ht="18.75" customHeight="1">
      <c r="B6" s="6" t="s">
        <v>28</v>
      </c>
      <c r="C6" s="6" t="s">
        <v>29</v>
      </c>
      <c r="D6" s="9">
        <f>D5/2</f>
        <v>7.7600000000000002E-2</v>
      </c>
      <c r="F6" s="6" t="s">
        <v>30</v>
      </c>
      <c r="G6" s="6" t="s">
        <v>31</v>
      </c>
      <c r="H6" s="9">
        <f>H5/2</f>
        <v>8.2600000000000007E-2</v>
      </c>
      <c r="J6" s="5" t="s">
        <v>32</v>
      </c>
      <c r="K6" s="6" t="s">
        <v>33</v>
      </c>
      <c r="L6" s="8">
        <v>22</v>
      </c>
      <c r="N6" s="5" t="s">
        <v>34</v>
      </c>
      <c r="O6" s="6" t="s">
        <v>35</v>
      </c>
      <c r="P6" s="8">
        <v>22</v>
      </c>
      <c r="R6" s="5" t="s">
        <v>36</v>
      </c>
      <c r="S6" s="6" t="s">
        <v>37</v>
      </c>
      <c r="T6" s="7">
        <v>0.01</v>
      </c>
    </row>
    <row r="7" spans="2:20" ht="18.75" customHeight="1">
      <c r="B7" s="6" t="s">
        <v>38</v>
      </c>
      <c r="C7" s="6" t="s">
        <v>39</v>
      </c>
      <c r="D7" s="9">
        <f>PI()*D6^2</f>
        <v>1.8917916977680874E-2</v>
      </c>
      <c r="F7" s="6" t="s">
        <v>40</v>
      </c>
      <c r="G7" s="6" t="s">
        <v>41</v>
      </c>
      <c r="H7" s="9">
        <f>D8</f>
        <v>0.86799999999999999</v>
      </c>
      <c r="J7" s="5" t="s">
        <v>42</v>
      </c>
      <c r="K7" s="6" t="s">
        <v>43</v>
      </c>
      <c r="L7" s="8">
        <v>34</v>
      </c>
      <c r="N7" s="5" t="s">
        <v>44</v>
      </c>
      <c r="O7" s="6" t="s">
        <v>45</v>
      </c>
      <c r="P7" s="8">
        <v>28</v>
      </c>
      <c r="R7" s="6" t="s">
        <v>46</v>
      </c>
      <c r="S7" s="6" t="s">
        <v>47</v>
      </c>
      <c r="T7" s="23">
        <f>PI()*T6^2/4</f>
        <v>7.8539816339744827E-5</v>
      </c>
    </row>
    <row r="8" spans="2:20" ht="18.75" customHeight="1">
      <c r="B8" s="5" t="s">
        <v>48</v>
      </c>
      <c r="C8" s="6" t="s">
        <v>49</v>
      </c>
      <c r="D8" s="7">
        <v>0.86799999999999999</v>
      </c>
      <c r="F8" s="6" t="s">
        <v>50</v>
      </c>
      <c r="G8" s="6" t="s">
        <v>51</v>
      </c>
      <c r="H8" s="9">
        <f>H6-D6</f>
        <v>5.0000000000000044E-3</v>
      </c>
      <c r="J8" s="6" t="s">
        <v>52</v>
      </c>
      <c r="K8" s="6" t="s">
        <v>53</v>
      </c>
      <c r="L8" s="9">
        <f>((L5/2)^2 - (L7/2)^2) * PI() / 1000000</f>
        <v>6.0667295733472494E-2</v>
      </c>
      <c r="N8" s="5" t="s">
        <v>54</v>
      </c>
      <c r="O8" s="6" t="s">
        <v>55</v>
      </c>
      <c r="P8" s="8">
        <v>28</v>
      </c>
      <c r="R8" s="6" t="s">
        <v>56</v>
      </c>
      <c r="S8" s="6" t="s">
        <v>57</v>
      </c>
      <c r="T8" s="20">
        <f>T7*T5+T11</f>
        <v>5.0157079632679492E-2</v>
      </c>
    </row>
    <row r="9" spans="2:20" ht="18.75" customHeight="1">
      <c r="B9" s="6" t="s">
        <v>58</v>
      </c>
      <c r="C9" s="6" t="s">
        <v>59</v>
      </c>
      <c r="D9" s="9">
        <f>D7*D8</f>
        <v>1.6420751936626999E-2</v>
      </c>
      <c r="F9" s="6" t="s">
        <v>60</v>
      </c>
      <c r="G9" s="6" t="s">
        <v>61</v>
      </c>
      <c r="H9" s="9">
        <f>PI()*(H6^2-D6^2)</f>
        <v>2.5164157155254285E-3</v>
      </c>
      <c r="J9" s="6" t="s">
        <v>62</v>
      </c>
      <c r="K9" s="6" t="s">
        <v>63</v>
      </c>
      <c r="L9" s="9">
        <f>((L5/2)^2 - (L7/2)^2) * PI() * L6 / 1000</f>
        <v>1334.6805061363948</v>
      </c>
      <c r="N9" s="6" t="s">
        <v>64</v>
      </c>
      <c r="O9" s="6" t="s">
        <v>65</v>
      </c>
      <c r="P9" s="10">
        <f>P6+P8</f>
        <v>50</v>
      </c>
      <c r="R9" s="5" t="s">
        <v>66</v>
      </c>
      <c r="S9" s="6" t="s">
        <v>67</v>
      </c>
      <c r="T9" s="8">
        <v>1</v>
      </c>
    </row>
    <row r="10" spans="2:20" ht="18.75" customHeight="1">
      <c r="B10" s="5" t="s">
        <v>68</v>
      </c>
      <c r="C10" s="6" t="s">
        <v>69</v>
      </c>
      <c r="D10" s="8">
        <v>10800</v>
      </c>
      <c r="F10" s="6" t="s">
        <v>70</v>
      </c>
      <c r="G10" s="6" t="s">
        <v>71</v>
      </c>
      <c r="H10" s="9">
        <f>H9*H7</f>
        <v>2.1842488410760718E-3</v>
      </c>
      <c r="J10" s="5" t="s">
        <v>72</v>
      </c>
      <c r="K10" s="6" t="s">
        <v>73</v>
      </c>
      <c r="L10" s="8">
        <v>165</v>
      </c>
      <c r="N10" s="5" t="s">
        <v>74</v>
      </c>
      <c r="O10" s="6" t="s">
        <v>75</v>
      </c>
      <c r="P10" s="7">
        <v>0.1</v>
      </c>
      <c r="R10" s="5" t="s">
        <v>76</v>
      </c>
      <c r="S10" s="6" t="s">
        <v>77</v>
      </c>
      <c r="T10" s="19">
        <v>3.0000000000000001E-3</v>
      </c>
    </row>
    <row r="11" spans="2:20" ht="18.75" customHeight="1">
      <c r="B11" s="6" t="s">
        <v>78</v>
      </c>
      <c r="C11" s="6" t="s">
        <v>79</v>
      </c>
      <c r="D11" s="9">
        <f>D10/D9/1000000</f>
        <v>0.65770435127944804</v>
      </c>
      <c r="F11" s="5" t="s">
        <v>80</v>
      </c>
      <c r="G11" s="6" t="s">
        <v>81</v>
      </c>
      <c r="H11" s="7">
        <v>7.93</v>
      </c>
      <c r="J11" s="6" t="s">
        <v>82</v>
      </c>
      <c r="K11" s="6" t="s">
        <v>83</v>
      </c>
      <c r="L11" s="9">
        <f>((L5/2)^2 - (L10/2)^2) * PI() * L6 / 1000</f>
        <v>884.24052226101708</v>
      </c>
      <c r="N11" s="5" t="s">
        <v>84</v>
      </c>
      <c r="O11" s="6" t="s">
        <v>85</v>
      </c>
      <c r="P11" s="8">
        <v>18</v>
      </c>
      <c r="R11" s="5"/>
      <c r="S11" s="6" t="s">
        <v>86</v>
      </c>
      <c r="T11" s="19">
        <v>0.05</v>
      </c>
    </row>
    <row r="12" spans="2:20" ht="18.75" customHeight="1">
      <c r="B12" s="5" t="s">
        <v>87</v>
      </c>
      <c r="C12" s="6" t="s">
        <v>88</v>
      </c>
      <c r="D12" s="7">
        <v>1.135</v>
      </c>
      <c r="F12" s="6" t="s">
        <v>89</v>
      </c>
      <c r="G12" s="6" t="s">
        <v>90</v>
      </c>
      <c r="H12" s="9">
        <f>H11*H10*1000000</f>
        <v>17321.093309733249</v>
      </c>
      <c r="J12" s="6" t="s">
        <v>91</v>
      </c>
      <c r="K12" s="6" t="s">
        <v>92</v>
      </c>
      <c r="L12" s="9">
        <f>(L9+L11) * $H$11</f>
        <v>17596.043755191473</v>
      </c>
      <c r="N12" s="6" t="s">
        <v>93</v>
      </c>
      <c r="O12" s="6" t="s">
        <v>94</v>
      </c>
      <c r="P12" s="9">
        <f>P6/P9</f>
        <v>0.44</v>
      </c>
    </row>
    <row r="13" spans="2:20" ht="18.75" customHeight="1">
      <c r="B13" s="5" t="s">
        <v>95</v>
      </c>
      <c r="C13" s="6" t="s">
        <v>96</v>
      </c>
      <c r="D13" s="7">
        <v>0.3</v>
      </c>
      <c r="F13" s="5" t="s">
        <v>97</v>
      </c>
      <c r="G13" s="6" t="s">
        <v>98</v>
      </c>
      <c r="H13" s="7">
        <v>0.59</v>
      </c>
      <c r="N13" s="6" t="s">
        <v>99</v>
      </c>
      <c r="O13" s="6" t="s">
        <v>100</v>
      </c>
      <c r="P13" s="9">
        <f>P8/P9</f>
        <v>0.56000000000000005</v>
      </c>
      <c r="R13" s="12" t="s">
        <v>101</v>
      </c>
      <c r="S13" s="17" t="s">
        <v>102</v>
      </c>
      <c r="T13" s="18"/>
    </row>
    <row r="14" spans="2:20" ht="18.75" customHeight="1">
      <c r="B14" s="5" t="s">
        <v>103</v>
      </c>
      <c r="C14" s="6" t="s">
        <v>104</v>
      </c>
      <c r="D14" s="7">
        <v>0.8</v>
      </c>
      <c r="F14" s="5" t="s">
        <v>105</v>
      </c>
      <c r="G14" s="6" t="s">
        <v>106</v>
      </c>
      <c r="H14" s="7">
        <v>16.7</v>
      </c>
      <c r="J14" s="12" t="s">
        <v>107</v>
      </c>
      <c r="K14" s="17" t="s">
        <v>108</v>
      </c>
      <c r="L14" s="15"/>
      <c r="N14" s="5" t="s">
        <v>109</v>
      </c>
      <c r="O14" s="6" t="s">
        <v>110</v>
      </c>
      <c r="P14" s="7">
        <v>1.8829980740000001</v>
      </c>
      <c r="R14" s="5" t="s">
        <v>111</v>
      </c>
      <c r="S14" s="16" t="s">
        <v>27</v>
      </c>
      <c r="T14" s="8">
        <v>2</v>
      </c>
    </row>
    <row r="15" spans="2:20" ht="18.75" customHeight="1">
      <c r="B15" s="6" t="s">
        <v>112</v>
      </c>
      <c r="C15" s="6" t="s">
        <v>113</v>
      </c>
      <c r="D15" s="10">
        <f>D14*D10</f>
        <v>8640</v>
      </c>
      <c r="F15" s="6" t="s">
        <v>114</v>
      </c>
      <c r="G15" s="6" t="s">
        <v>115</v>
      </c>
      <c r="H15" s="9">
        <f>PI()*H5*H7</f>
        <v>0.45048428033179344</v>
      </c>
      <c r="J15" s="5" t="s">
        <v>22</v>
      </c>
      <c r="K15" s="16" t="s">
        <v>23</v>
      </c>
      <c r="L15" s="8">
        <v>280</v>
      </c>
      <c r="N15" s="5" t="s">
        <v>116</v>
      </c>
      <c r="O15" s="6" t="s">
        <v>117</v>
      </c>
      <c r="P15" s="7">
        <v>1.1922472150000001</v>
      </c>
      <c r="R15" s="5" t="s">
        <v>118</v>
      </c>
      <c r="S15" s="6" t="s">
        <v>37</v>
      </c>
      <c r="T15" s="19">
        <v>2.5000000000000001E-2</v>
      </c>
    </row>
    <row r="16" spans="2:20" ht="18.75" customHeight="1">
      <c r="B16" s="5" t="s">
        <v>119</v>
      </c>
      <c r="C16" s="6" t="s">
        <v>120</v>
      </c>
      <c r="D16" s="7">
        <v>0.36</v>
      </c>
      <c r="F16" s="5" t="s">
        <v>121</v>
      </c>
      <c r="G16" s="6" t="s">
        <v>122</v>
      </c>
      <c r="H16" s="8">
        <v>200</v>
      </c>
      <c r="J16" s="5" t="s">
        <v>32</v>
      </c>
      <c r="K16" s="6" t="s">
        <v>33</v>
      </c>
      <c r="L16" s="8">
        <v>22</v>
      </c>
      <c r="N16" s="6" t="s">
        <v>123</v>
      </c>
      <c r="O16" s="6" t="s">
        <v>124</v>
      </c>
      <c r="P16" s="9">
        <f>P14*P12+P15*P13</f>
        <v>1.4961775929600001</v>
      </c>
      <c r="R16" s="6" t="s">
        <v>125</v>
      </c>
      <c r="S16" s="6" t="s">
        <v>47</v>
      </c>
      <c r="T16" s="9">
        <f>PI()*T15^2/4</f>
        <v>4.9087385212340522E-4</v>
      </c>
    </row>
    <row r="17" spans="2:20" ht="18.75" customHeight="1">
      <c r="B17" s="5" t="s">
        <v>126</v>
      </c>
      <c r="C17" s="6" t="s">
        <v>127</v>
      </c>
      <c r="D17" s="7">
        <v>1E-3</v>
      </c>
      <c r="F17" s="5" t="s">
        <v>128</v>
      </c>
      <c r="G17" s="6" t="s">
        <v>129</v>
      </c>
      <c r="H17" s="8">
        <v>15</v>
      </c>
      <c r="J17" s="5" t="s">
        <v>72</v>
      </c>
      <c r="K17" s="6" t="s">
        <v>43</v>
      </c>
      <c r="L17" s="7">
        <v>60.5</v>
      </c>
      <c r="N17" s="5" t="s">
        <v>130</v>
      </c>
      <c r="O17" s="6" t="s">
        <v>131</v>
      </c>
      <c r="P17" s="7">
        <v>1.6083291999999999E-2</v>
      </c>
      <c r="R17" s="5" t="s">
        <v>132</v>
      </c>
      <c r="S17" s="6" t="s">
        <v>57</v>
      </c>
      <c r="T17" s="21">
        <v>5.0000000000000001E-3</v>
      </c>
    </row>
    <row r="18" spans="2:20" ht="18.75" customHeight="1">
      <c r="B18" s="5" t="s">
        <v>133</v>
      </c>
      <c r="C18" s="6" t="s">
        <v>134</v>
      </c>
      <c r="D18" s="8">
        <v>1</v>
      </c>
      <c r="F18" s="5" t="s">
        <v>135</v>
      </c>
      <c r="G18" s="6" t="s">
        <v>136</v>
      </c>
      <c r="H18" s="7">
        <v>0.19</v>
      </c>
      <c r="J18" s="6" t="s">
        <v>137</v>
      </c>
      <c r="K18" s="6" t="s">
        <v>53</v>
      </c>
      <c r="L18" s="9">
        <f>((L15/2)^2 - (L17/2)^2) * PI() / 1000000</f>
        <v>5.8700462382784431E-2</v>
      </c>
      <c r="N18" s="5" t="s">
        <v>138</v>
      </c>
      <c r="O18" s="6" t="s">
        <v>139</v>
      </c>
      <c r="P18" s="7">
        <v>2.5327674000000001E-2</v>
      </c>
      <c r="R18" s="6" t="s">
        <v>140</v>
      </c>
      <c r="S18" s="6" t="s">
        <v>141</v>
      </c>
      <c r="T18" s="9">
        <f>T17+D22</f>
        <v>1.0911470697185718E-2</v>
      </c>
    </row>
    <row r="19" spans="2:20" ht="18.75" customHeight="1">
      <c r="B19" s="5" t="s">
        <v>142</v>
      </c>
      <c r="C19" s="6" t="s">
        <v>143</v>
      </c>
      <c r="D19" s="8">
        <v>4</v>
      </c>
      <c r="J19" s="6" t="s">
        <v>82</v>
      </c>
      <c r="K19" s="6" t="s">
        <v>63</v>
      </c>
      <c r="L19" s="9">
        <f>((L15/2)^2 - (L17/2)^2) * PI() * L16 / 1000</f>
        <v>1291.4101724212576</v>
      </c>
      <c r="N19" s="6" t="s">
        <v>144</v>
      </c>
      <c r="O19" s="6" t="s">
        <v>145</v>
      </c>
      <c r="P19" s="9">
        <f>P17*P12+P18*P13</f>
        <v>2.1260145920000001E-2</v>
      </c>
    </row>
    <row r="20" spans="2:20" ht="18.75" customHeight="1">
      <c r="B20" s="5" t="s">
        <v>146</v>
      </c>
      <c r="C20" s="6" t="s">
        <v>147</v>
      </c>
      <c r="D20" s="7">
        <v>3.5</v>
      </c>
      <c r="J20" s="5" t="s">
        <v>42</v>
      </c>
      <c r="K20" s="6" t="s">
        <v>73</v>
      </c>
      <c r="L20" s="8">
        <v>165</v>
      </c>
      <c r="N20" s="5" t="s">
        <v>148</v>
      </c>
      <c r="O20" s="6" t="s">
        <v>149</v>
      </c>
      <c r="P20" s="7">
        <v>1.4600000000000001E-5</v>
      </c>
      <c r="R20" s="12" t="s">
        <v>150</v>
      </c>
      <c r="S20" s="17" t="s">
        <v>151</v>
      </c>
      <c r="T20" s="18"/>
    </row>
    <row r="21" spans="2:20" ht="18.75" customHeight="1">
      <c r="B21" s="5" t="s">
        <v>152</v>
      </c>
      <c r="C21" s="6" t="s">
        <v>153</v>
      </c>
      <c r="D21" s="7">
        <v>0.65</v>
      </c>
      <c r="J21" s="6" t="s">
        <v>62</v>
      </c>
      <c r="K21" s="6" t="s">
        <v>83</v>
      </c>
      <c r="L21" s="9">
        <f>((L15/2)^2 - (L20/2)^2) * PI() * L16 / 1000</f>
        <v>884.24052226101708</v>
      </c>
      <c r="N21" s="5" t="s">
        <v>154</v>
      </c>
      <c r="O21" s="6" t="s">
        <v>155</v>
      </c>
      <c r="P21" s="7">
        <v>1.7499999999999998E-5</v>
      </c>
      <c r="R21" s="5" t="s">
        <v>156</v>
      </c>
      <c r="S21" s="16" t="s">
        <v>157</v>
      </c>
      <c r="T21" s="7">
        <v>0.4</v>
      </c>
    </row>
    <row r="22" spans="2:20" ht="18.75" customHeight="1">
      <c r="B22" s="5" t="s">
        <v>158</v>
      </c>
      <c r="C22" s="6" t="s">
        <v>159</v>
      </c>
      <c r="D22" s="9">
        <f>D7*D8*D16</f>
        <v>5.9114706971857191E-3</v>
      </c>
      <c r="J22" s="6" t="s">
        <v>91</v>
      </c>
      <c r="K22" s="6" t="s">
        <v>92</v>
      </c>
      <c r="L22" s="9">
        <f>(L19+L21) * $H$11</f>
        <v>17252.910008830437</v>
      </c>
      <c r="N22" s="6" t="s">
        <v>160</v>
      </c>
      <c r="O22" s="6" t="s">
        <v>161</v>
      </c>
      <c r="P22" s="9">
        <f>P20*P12+P21*P13</f>
        <v>1.6223999999999999E-5</v>
      </c>
      <c r="R22" s="5" t="s">
        <v>162</v>
      </c>
      <c r="S22" s="6" t="s">
        <v>163</v>
      </c>
      <c r="T22" s="8">
        <v>1</v>
      </c>
    </row>
    <row r="23" spans="2:20" ht="18.75" customHeight="1">
      <c r="B23" s="5" t="s">
        <v>164</v>
      </c>
      <c r="C23" s="6" t="s">
        <v>165</v>
      </c>
      <c r="D23" s="19">
        <v>7.0000000000000007E-2</v>
      </c>
      <c r="N23" s="5" t="s">
        <v>166</v>
      </c>
      <c r="O23" s="6" t="s">
        <v>167</v>
      </c>
      <c r="P23" s="7">
        <v>411.4</v>
      </c>
      <c r="R23" s="5" t="s">
        <v>168</v>
      </c>
      <c r="S23" s="6" t="s">
        <v>169</v>
      </c>
      <c r="T23" s="8">
        <v>1</v>
      </c>
    </row>
    <row r="24" spans="2:20" ht="18.75" customHeight="1">
      <c r="B24" s="5"/>
      <c r="C24" s="6" t="s">
        <v>170</v>
      </c>
      <c r="D24" s="19">
        <v>5.0000000000000001E-3</v>
      </c>
      <c r="N24" s="5" t="s">
        <v>171</v>
      </c>
      <c r="O24" s="6" t="s">
        <v>172</v>
      </c>
      <c r="P24" s="7">
        <v>0.84426034000000005</v>
      </c>
    </row>
    <row r="25" spans="2:20" ht="18.75" customHeight="1">
      <c r="B25" s="5" t="s">
        <v>173</v>
      </c>
      <c r="C25" s="6" t="s">
        <v>174</v>
      </c>
      <c r="D25" s="8">
        <v>30</v>
      </c>
      <c r="N25" s="5" t="s">
        <v>175</v>
      </c>
      <c r="O25" s="6" t="s">
        <v>176</v>
      </c>
      <c r="P25" s="7">
        <v>1.0413669560000001</v>
      </c>
    </row>
    <row r="26" spans="2:20" ht="18.75" customHeight="1">
      <c r="N26" s="6" t="s">
        <v>177</v>
      </c>
      <c r="O26" s="6" t="s">
        <v>178</v>
      </c>
      <c r="P26" s="9">
        <f>P24*P12+P25*P13</f>
        <v>0.9546400449600001</v>
      </c>
    </row>
    <row r="27" spans="2:20" ht="18.75" customHeight="1">
      <c r="N27" s="6" t="s">
        <v>179</v>
      </c>
      <c r="O27" s="6" t="s">
        <v>180</v>
      </c>
      <c r="P27" s="9">
        <f>P26*(P6/22.4*P5*60/1000 + P8/22.4*P7*60/1000)</f>
        <v>4.4799893538480005</v>
      </c>
    </row>
    <row r="28" spans="2:20" ht="18.75" customHeight="1">
      <c r="N28" s="5" t="s">
        <v>181</v>
      </c>
      <c r="O28" s="6" t="s">
        <v>182</v>
      </c>
      <c r="P28" s="8">
        <v>700</v>
      </c>
    </row>
    <row r="29" spans="2:20" ht="18.75" customHeight="1">
      <c r="N29" s="5" t="s">
        <v>183</v>
      </c>
      <c r="O29" s="6" t="s">
        <v>184</v>
      </c>
      <c r="P29" s="7">
        <v>642.9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Kuroki Takuma/黒木 琢磨/JFE-ENG</cp:lastModifiedBy>
  <cp:revision/>
  <dcterms:created xsi:type="dcterms:W3CDTF">2025-04-02T23:30:05Z</dcterms:created>
  <dcterms:modified xsi:type="dcterms:W3CDTF">2025-04-15T07:15:46Z</dcterms:modified>
  <cp:category/>
  <cp:contentStatus/>
</cp:coreProperties>
</file>