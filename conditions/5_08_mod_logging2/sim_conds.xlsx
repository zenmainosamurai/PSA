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05269\Desktop\PJ\493_触媒反応器データ同化\PJ493_CatReactorAssimilation_05_gas_adsorption_3dim\conditions\5_08_mod_logging2\"/>
    </mc:Choice>
  </mc:AlternateContent>
  <xr:revisionPtr revIDLastSave="0" documentId="13_ncr:1_{13E04ACD-FE1C-4FD1-AC93-5F345D96D5F9}" xr6:coauthVersionLast="47" xr6:coauthVersionMax="47" xr10:uidLastSave="{00000000-0000-0000-0000-000000000000}"/>
  <bookViews>
    <workbookView xWindow="1170" yWindow="1170" windowWidth="21600" windowHeight="11175" activeTab="1" xr2:uid="{2EB3FB1F-0DDA-4F24-A050-404ED7733B69}"/>
  </bookViews>
  <sheets>
    <sheet name="共通" sheetId="1" r:id="rId1"/>
    <sheet name="触媒充填層条件" sheetId="2" r:id="rId2"/>
    <sheet name="導入ガス条件" sheetId="6" r:id="rId3"/>
    <sheet name="容器壁条件" sheetId="3" r:id="rId4"/>
    <sheet name="蓋条件" sheetId="4" r:id="rId5"/>
    <sheet name="底条件" sheetId="5" r:id="rId6"/>
    <sheet name="均圧配管条件" sheetId="7" r:id="rId7"/>
    <sheet name="真空引き配管条件" sheetId="8" r:id="rId8"/>
    <sheet name="熱電対条件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E25" i="2"/>
  <c r="C25" i="2"/>
  <c r="C26" i="2"/>
  <c r="C22" i="2"/>
  <c r="D22" i="2"/>
  <c r="E22" i="2"/>
  <c r="D27" i="2"/>
  <c r="E27" i="2"/>
  <c r="D26" i="2"/>
  <c r="E26" i="2"/>
  <c r="C27" i="2"/>
  <c r="D2" i="1"/>
  <c r="E2" i="1"/>
  <c r="D3" i="1"/>
  <c r="E3" i="1"/>
  <c r="D4" i="1"/>
  <c r="E4" i="1"/>
  <c r="D7" i="6"/>
  <c r="E7" i="6"/>
  <c r="C7" i="6"/>
  <c r="D4" i="6"/>
  <c r="E4" i="6"/>
  <c r="C4" i="6"/>
  <c r="E4" i="8" l="1"/>
  <c r="D4" i="8"/>
  <c r="C4" i="8"/>
  <c r="E4" i="7"/>
  <c r="E5" i="7" s="1"/>
  <c r="D4" i="7"/>
  <c r="D5" i="7" s="1"/>
  <c r="C4" i="7"/>
  <c r="C5" i="7" s="1"/>
  <c r="E8" i="6"/>
  <c r="E11" i="6" s="1"/>
  <c r="D8" i="6"/>
  <c r="D12" i="6" s="1"/>
  <c r="C8" i="6"/>
  <c r="C11" i="6" s="1"/>
  <c r="E9" i="5"/>
  <c r="D9" i="5"/>
  <c r="C9" i="5"/>
  <c r="E8" i="5"/>
  <c r="E6" i="5"/>
  <c r="E5" i="5"/>
  <c r="D8" i="5"/>
  <c r="D6" i="5"/>
  <c r="D5" i="5"/>
  <c r="C8" i="5"/>
  <c r="C6" i="5"/>
  <c r="C5" i="5"/>
  <c r="E9" i="4"/>
  <c r="D9" i="4"/>
  <c r="C9" i="4"/>
  <c r="E6" i="4"/>
  <c r="E8" i="4"/>
  <c r="E5" i="4"/>
  <c r="D8" i="4"/>
  <c r="D6" i="4"/>
  <c r="D5" i="4"/>
  <c r="C8" i="4"/>
  <c r="C6" i="4"/>
  <c r="C5" i="4"/>
  <c r="E4" i="3"/>
  <c r="E12" i="3" s="1"/>
  <c r="D4" i="3"/>
  <c r="C5" i="3"/>
  <c r="C4" i="3"/>
  <c r="C12" i="3" s="1"/>
  <c r="E3" i="3"/>
  <c r="D12" i="3"/>
  <c r="D3" i="3"/>
  <c r="C3" i="3"/>
  <c r="E12" i="2"/>
  <c r="E3" i="2"/>
  <c r="E4" i="2" s="1"/>
  <c r="D12" i="2"/>
  <c r="D3" i="2"/>
  <c r="D4" i="2" s="1"/>
  <c r="C12" i="2"/>
  <c r="C3" i="2"/>
  <c r="C4" i="2" s="1"/>
  <c r="D5" i="3" l="1"/>
  <c r="C6" i="3"/>
  <c r="D6" i="3"/>
  <c r="D7" i="3" s="1"/>
  <c r="D9" i="3" s="1"/>
  <c r="E5" i="3"/>
  <c r="E6" i="3"/>
  <c r="E7" i="3" s="1"/>
  <c r="E9" i="3" s="1"/>
  <c r="D11" i="6"/>
  <c r="D21" i="6" s="1"/>
  <c r="E12" i="6"/>
  <c r="E18" i="6" s="1"/>
  <c r="C12" i="6"/>
  <c r="C25" i="6" s="1"/>
  <c r="C26" i="6" s="1"/>
  <c r="C7" i="3"/>
  <c r="C9" i="3" s="1"/>
  <c r="E19" i="2"/>
  <c r="E6" i="8" s="1"/>
  <c r="E6" i="2"/>
  <c r="E8" i="2" s="1"/>
  <c r="D19" i="2"/>
  <c r="D6" i="8" s="1"/>
  <c r="D6" i="2"/>
  <c r="D8" i="2" s="1"/>
  <c r="C19" i="2"/>
  <c r="C6" i="8" s="1"/>
  <c r="C6" i="2"/>
  <c r="C8" i="2" s="1"/>
  <c r="E21" i="6" l="1"/>
  <c r="D25" i="6"/>
  <c r="D26" i="6" s="1"/>
  <c r="D18" i="6"/>
  <c r="D15" i="6"/>
  <c r="E25" i="6"/>
  <c r="E26" i="6" s="1"/>
  <c r="E15" i="6"/>
  <c r="C18" i="6"/>
  <c r="C21" i="6"/>
  <c r="C15" i="6"/>
</calcChain>
</file>

<file path=xl/sharedStrings.xml><?xml version="1.0" encoding="utf-8"?>
<sst xmlns="http://schemas.openxmlformats.org/spreadsheetml/2006/main" count="260" uniqueCount="210">
  <si>
    <t>計算ステップ [min]</t>
  </si>
  <si>
    <t>ストリーム分割数</t>
  </si>
  <si>
    <t>セクション分割数</t>
  </si>
  <si>
    <t>触媒充填層条件</t>
  </si>
  <si>
    <t>充填層直径 [m]</t>
  </si>
  <si>
    <t>充填層半径 [m]</t>
  </si>
  <si>
    <t>充填層断面積 [m2]</t>
  </si>
  <si>
    <t>充填層高さ [m]</t>
  </si>
  <si>
    <t>充填層体積 [m3]</t>
  </si>
  <si>
    <t>充填吸着材量 [g]</t>
  </si>
  <si>
    <t>充填層熱伝導率 [W/m/K]</t>
  </si>
  <si>
    <t>充填層熱容量 [J/K]</t>
  </si>
  <si>
    <t>平均空隙率 [-]</t>
  </si>
  <si>
    <t>平均粒子径 [m]</t>
  </si>
  <si>
    <t>形状補正係数 [-]</t>
  </si>
  <si>
    <t>吸着移動係数 [1e-6/sec]</t>
  </si>
  <si>
    <t>脱着移動係数 [1e-6/sec]</t>
  </si>
  <si>
    <t>充填層空間体積 [m3]</t>
  </si>
  <si>
    <t>塔1</t>
    <rPh sb="0" eb="1">
      <t>トウ</t>
    </rPh>
    <phoneticPr fontId="2"/>
  </si>
  <si>
    <t>塔2</t>
    <rPh sb="0" eb="1">
      <t>トウ</t>
    </rPh>
    <phoneticPr fontId="2"/>
  </si>
  <si>
    <t>塔3</t>
    <rPh sb="0" eb="1">
      <t>トウ</t>
    </rPh>
    <phoneticPr fontId="2"/>
  </si>
  <si>
    <t>容器壁条件</t>
  </si>
  <si>
    <t>容器直径 [m]</t>
  </si>
  <si>
    <t>容器半径 [m]</t>
  </si>
  <si>
    <t>容器高さ [m]</t>
  </si>
  <si>
    <t>容器壁厚み [m]</t>
  </si>
  <si>
    <t>容器壁断面積 [m2]</t>
  </si>
  <si>
    <t>容器壁体積 [m3]</t>
  </si>
  <si>
    <t>容器壁密度 [g/cm3]</t>
  </si>
  <si>
    <t>容器壁総重量 [g]</t>
  </si>
  <si>
    <t>容器壁比熱 [J/g/K]</t>
  </si>
  <si>
    <t>容器壁熱伝導率 [W/m/K]</t>
  </si>
  <si>
    <t>容器側面積 [m2]</t>
  </si>
  <si>
    <t>外気熱伝達係数 [W/m2/K]</t>
  </si>
  <si>
    <t>外気温 [℃]</t>
  </si>
  <si>
    <t>壁-層伝熱係数の補正係数</t>
  </si>
  <si>
    <t>上蓋の条件</t>
  </si>
  <si>
    <t>下蓋の条件</t>
  </si>
  <si>
    <t>導入ガス条件</t>
  </si>
  <si>
    <t>CO2分子量 [g/mol]</t>
  </si>
  <si>
    <t>CO2流量 [L/min]</t>
  </si>
  <si>
    <t>N2分子量 [g/mol]</t>
  </si>
  <si>
    <t>N2流量 [L/min]</t>
  </si>
  <si>
    <t>全流量 [L/min]</t>
  </si>
  <si>
    <t>全圧 [MPaA]</t>
  </si>
  <si>
    <t>温度 [degC]</t>
  </si>
  <si>
    <t>CO2分率 [co2]</t>
  </si>
  <si>
    <t>CO2分率 [nitrogen]</t>
  </si>
  <si>
    <t>CO2密度 [kg/m3]</t>
  </si>
  <si>
    <t>N2密度 [kg/m3]</t>
  </si>
  <si>
    <t>平均密度 [kg/m3]</t>
  </si>
  <si>
    <t>CO2熱伝導率 [W/m/K]</t>
  </si>
  <si>
    <t>N2熱伝導率 [W/m/K]</t>
  </si>
  <si>
    <t>平均熱伝導率 [W/m/K]</t>
  </si>
  <si>
    <t>CO2粘度 [Pas]</t>
  </si>
  <si>
    <t>N2粘度 [Pas]</t>
  </si>
  <si>
    <t>平均粘度 [Pas]</t>
  </si>
  <si>
    <t>エンタルピー [kJ/kg]</t>
  </si>
  <si>
    <t>enthalpy</t>
  </si>
  <si>
    <t>co2比熱</t>
  </si>
  <si>
    <t>n2比熱</t>
  </si>
  <si>
    <t>平均比熱Cp [kJ/kg/K]</t>
  </si>
  <si>
    <t>1h熱容量 [kJ/K/h]</t>
  </si>
  <si>
    <t>CO2吸着熱 [kJ/kg]</t>
  </si>
  <si>
    <t>N2吸着熱 [kJ/kg]</t>
  </si>
  <si>
    <t>均圧配管条件</t>
  </si>
  <si>
    <t>均圧配管の長さ [m]</t>
  </si>
  <si>
    <t>均圧配管径 [m]</t>
  </si>
  <si>
    <t>配管断面積 [m2]</t>
  </si>
  <si>
    <t>配管体積 [m3]</t>
  </si>
  <si>
    <t>流速補正係数 [-]</t>
  </si>
  <si>
    <t>真空引き配管条件</t>
  </si>
  <si>
    <t>真空引き配管長さ [m]</t>
  </si>
  <si>
    <t>真空引き配管直径 [m]</t>
  </si>
  <si>
    <t>真空引き配管断面積 [m2]</t>
  </si>
  <si>
    <t>真空排気ライン空間体積 [m3]</t>
  </si>
  <si>
    <t>真空排気空間容積 [m3]</t>
  </si>
  <si>
    <t>熱電対条件</t>
  </si>
  <si>
    <t>熱電対比熱 [J/g/K]</t>
  </si>
  <si>
    <t>熱電対重量 [g]</t>
  </si>
  <si>
    <t>weight</t>
  </si>
  <si>
    <t>熱電対伝熱補正係数</t>
  </si>
  <si>
    <t>変数名</t>
    <rPh sb="0" eb="3">
      <t>ヘンスウメイ</t>
    </rPh>
    <phoneticPr fontId="3"/>
  </si>
  <si>
    <t>変数名</t>
    <rPh sb="0" eb="3">
      <t>ヘンスウメイ</t>
    </rPh>
    <phoneticPr fontId="2"/>
  </si>
  <si>
    <t>共通パラメータ</t>
    <phoneticPr fontId="2"/>
  </si>
  <si>
    <t>calculation_step_time</t>
    <phoneticPr fontId="2"/>
  </si>
  <si>
    <t>num_streams</t>
    <phoneticPr fontId="2"/>
  </si>
  <si>
    <t>num_sections</t>
    <phoneticPr fontId="2"/>
  </si>
  <si>
    <t>diameter</t>
  </si>
  <si>
    <t>radius</t>
  </si>
  <si>
    <t>height</t>
  </si>
  <si>
    <t>volume</t>
  </si>
  <si>
    <t>adsorbent_mass</t>
  </si>
  <si>
    <t>adsorbent_bulk_density</t>
  </si>
  <si>
    <t>thermal_conductivity</t>
  </si>
  <si>
    <t>emissivity</t>
  </si>
  <si>
    <t>specific_heat_capacity</t>
  </si>
  <si>
    <t>heat_capacity</t>
  </si>
  <si>
    <t>average_porosity</t>
  </si>
  <si>
    <t>average_particle_diameter</t>
  </si>
  <si>
    <t>particle_shape_factor</t>
  </si>
  <si>
    <t>initial_internal_pressure</t>
  </si>
  <si>
    <t>void_volume</t>
  </si>
  <si>
    <t>upstream_piping_volume</t>
  </si>
  <si>
    <t>vessel_internal_void_volume</t>
  </si>
  <si>
    <t>initial_adsorption_amount</t>
  </si>
  <si>
    <t>充填吸着材かさ密度 [g/cm3]</t>
    <phoneticPr fontId="2"/>
  </si>
  <si>
    <t>充填層放射率 [-]</t>
    <phoneticPr fontId="2"/>
  </si>
  <si>
    <t>充填層比熱容量 [J/g/K]</t>
    <phoneticPr fontId="2"/>
  </si>
  <si>
    <t>容器上流配管体積[m3]</t>
    <phoneticPr fontId="2"/>
  </si>
  <si>
    <t>容器内部空間体積[m3]</t>
  </si>
  <si>
    <t>co2_molecular_weight</t>
  </si>
  <si>
    <t>co2_flow_rate</t>
  </si>
  <si>
    <t>n2_molecular_weight</t>
  </si>
  <si>
    <t>n2_flow_rate</t>
  </si>
  <si>
    <t>total_flow_rate</t>
  </si>
  <si>
    <t>total_pressure</t>
  </si>
  <si>
    <t>temperature</t>
  </si>
  <si>
    <t>co2_mole_fraction</t>
  </si>
  <si>
    <t>n2_mole_fraction</t>
  </si>
  <si>
    <t>co2_density</t>
  </si>
  <si>
    <t>n2_density</t>
  </si>
  <si>
    <t>average_density</t>
  </si>
  <si>
    <t>co2_thermal_conductivity</t>
  </si>
  <si>
    <t>n2_thermal_conductivity</t>
  </si>
  <si>
    <t>average_thermal_conductivity</t>
  </si>
  <si>
    <t>co2_viscosity</t>
  </si>
  <si>
    <t>n2_viscosity</t>
  </si>
  <si>
    <t>average_viscosity</t>
  </si>
  <si>
    <t>co2_specific_heat_capacity</t>
  </si>
  <si>
    <t>n2_specific_heat_capacity</t>
  </si>
  <si>
    <t>average_specific_heat_capacity</t>
  </si>
  <si>
    <t>heat_capacity_per_hour</t>
  </si>
  <si>
    <t>co2_adsorption_heat</t>
    <phoneticPr fontId="2"/>
  </si>
  <si>
    <t>n2_adsorption_heat</t>
    <phoneticPr fontId="2"/>
  </si>
  <si>
    <t>wall_thickness</t>
  </si>
  <si>
    <t>wall_cross_section</t>
  </si>
  <si>
    <t>wall_volume</t>
  </si>
  <si>
    <t>wall_density</t>
  </si>
  <si>
    <t>wall_total_weight</t>
  </si>
  <si>
    <t>wall_specific_heat_capacity</t>
  </si>
  <si>
    <t>wall_thermal_conductivity</t>
  </si>
  <si>
    <t>lateral_surface_area</t>
    <phoneticPr fontId="2"/>
  </si>
  <si>
    <t>external_heat_transfer_coef</t>
    <phoneticPr fontId="2"/>
  </si>
  <si>
    <t>ambient_temperature</t>
    <phoneticPr fontId="2"/>
  </si>
  <si>
    <t>wall_to_bed_htc_correction_factor</t>
    <phoneticPr fontId="2"/>
  </si>
  <si>
    <t>蓋フランジ径[mm]</t>
    <phoneticPr fontId="2"/>
  </si>
  <si>
    <t>蓋フランジ厚 [mm]</t>
    <rPh sb="0" eb="1">
      <t>フタ</t>
    </rPh>
    <phoneticPr fontId="2"/>
  </si>
  <si>
    <t>上側蓋フランジ内孔径 [mm]</t>
    <phoneticPr fontId="2"/>
  </si>
  <si>
    <t>上側蓋フランジ面積 [m2]</t>
    <phoneticPr fontId="2"/>
  </si>
  <si>
    <t>上側蓋フランジ体積 [cm3]</t>
    <phoneticPr fontId="2"/>
  </si>
  <si>
    <t>下側蓋フランジ内孔径 [mm]</t>
    <phoneticPr fontId="2"/>
  </si>
  <si>
    <t>下側蓋フランジ体積 [cm3]</t>
    <phoneticPr fontId="2"/>
  </si>
  <si>
    <t>蓋フランジ総重量 [g]</t>
    <phoneticPr fontId="2"/>
  </si>
  <si>
    <t>底フランジ径 [mm]</t>
    <phoneticPr fontId="2"/>
  </si>
  <si>
    <t>底フランジ厚 [mm]</t>
    <phoneticPr fontId="2"/>
  </si>
  <si>
    <t>下側底フランジ内孔径 [mm]</t>
    <phoneticPr fontId="2"/>
  </si>
  <si>
    <t>下側底フランジ面積 [m2]</t>
    <phoneticPr fontId="2"/>
  </si>
  <si>
    <t>下側底フランジ体積 [cm3]</t>
    <phoneticPr fontId="2"/>
  </si>
  <si>
    <t>上側底フランジ内孔径 [mm]</t>
    <phoneticPr fontId="2"/>
  </si>
  <si>
    <t>上側底フランジ体積 [cm3]</t>
    <phoneticPr fontId="2"/>
  </si>
  <si>
    <t>底フランジ総重量 [g]</t>
    <phoneticPr fontId="2"/>
  </si>
  <si>
    <t>flange_diameter</t>
  </si>
  <si>
    <t>flange_thickness</t>
  </si>
  <si>
    <t>outer_flange_inner_diameter</t>
    <phoneticPr fontId="2"/>
  </si>
  <si>
    <t>outer_flange_area</t>
    <phoneticPr fontId="2"/>
  </si>
  <si>
    <t>outer_flange_volume</t>
    <phoneticPr fontId="2"/>
  </si>
  <si>
    <t>inner_flange_inner_diameter</t>
    <phoneticPr fontId="2"/>
  </si>
  <si>
    <t>inner_flange_volume</t>
    <phoneticPr fontId="2"/>
  </si>
  <si>
    <t>flange_total_weight</t>
    <phoneticPr fontId="2"/>
  </si>
  <si>
    <t>配管直管部空間体積 [m3]</t>
    <rPh sb="0" eb="2">
      <t>ハイカン</t>
    </rPh>
    <rPh sb="2" eb="5">
      <t>チョッカンブ</t>
    </rPh>
    <phoneticPr fontId="2"/>
  </si>
  <si>
    <t>配管よどみ部空間体積[m3]</t>
    <rPh sb="0" eb="2">
      <t>ハイカン</t>
    </rPh>
    <rPh sb="5" eb="6">
      <t>ブ</t>
    </rPh>
    <rPh sb="6" eb="10">
      <t>クウカンタイセキ</t>
    </rPh>
    <phoneticPr fontId="2"/>
  </si>
  <si>
    <t>length</t>
  </si>
  <si>
    <t>cross_section</t>
  </si>
  <si>
    <t>flow_velocity_correction_factor</t>
  </si>
  <si>
    <t>main_part_volume</t>
  </si>
  <si>
    <t>isolated_equalizing_volume</t>
    <phoneticPr fontId="2"/>
  </si>
  <si>
    <t>space_volume</t>
  </si>
  <si>
    <t>specific_heat</t>
  </si>
  <si>
    <t>heat_transfer_correction_factor</t>
    <phoneticPr fontId="2"/>
  </si>
  <si>
    <t>cross_section</t>
    <phoneticPr fontId="2"/>
  </si>
  <si>
    <t>adsorption_mass_transfer_coef</t>
    <phoneticPr fontId="2"/>
  </si>
  <si>
    <t>desorption_mass_transfer_coef</t>
    <phoneticPr fontId="2"/>
  </si>
  <si>
    <t>初期温度[degC]</t>
    <rPh sb="0" eb="4">
      <t>ショキオンド</t>
    </rPh>
    <phoneticPr fontId="2"/>
  </si>
  <si>
    <t>initial_temperature</t>
    <phoneticPr fontId="2"/>
  </si>
  <si>
    <t>N2流量[Nm3/h]</t>
    <rPh sb="2" eb="4">
      <t>リュウリョウ</t>
    </rPh>
    <phoneticPr fontId="2"/>
  </si>
  <si>
    <t>CO2流量[Nm3/h]</t>
    <rPh sb="3" eb="5">
      <t>リュウリョウ</t>
    </rPh>
    <phoneticPr fontId="2"/>
  </si>
  <si>
    <t>co2_flow_rate_normal</t>
    <phoneticPr fontId="2"/>
  </si>
  <si>
    <t>n2_flow_rate_normal</t>
    <phoneticPr fontId="2"/>
  </si>
  <si>
    <t>充填層初期吸着量[Ncm3/g-abs]</t>
    <rPh sb="0" eb="3">
      <t>ジュウテンソウ</t>
    </rPh>
    <rPh sb="3" eb="8">
      <t>ショキキュウチャクリョウ</t>
    </rPh>
    <phoneticPr fontId="2"/>
  </si>
  <si>
    <t>真空ポンプ排気速度[m3/min]</t>
    <rPh sb="0" eb="2">
      <t>シンクウ</t>
    </rPh>
    <rPh sb="5" eb="9">
      <t>ハイキソクド</t>
    </rPh>
    <phoneticPr fontId="2"/>
  </si>
  <si>
    <t>vacuum_pumping_speed</t>
    <phoneticPr fontId="2"/>
  </si>
  <si>
    <t>エクセル出力[1/0]</t>
    <rPh sb="4" eb="6">
      <t>シュツリョク</t>
    </rPh>
    <phoneticPr fontId="2"/>
  </si>
  <si>
    <t>use_xlsx</t>
    <phoneticPr fontId="2"/>
  </si>
  <si>
    <t>グラフ用セクション番号</t>
    <rPh sb="3" eb="4">
      <t>ヨウ</t>
    </rPh>
    <rPh sb="9" eb="11">
      <t>バンゴウ</t>
    </rPh>
    <phoneticPr fontId="2"/>
  </si>
  <si>
    <t>sections_for_graph</t>
    <phoneticPr fontId="2"/>
  </si>
  <si>
    <t>2;10;18</t>
    <phoneticPr fontId="2"/>
  </si>
  <si>
    <t>容器内初期圧力 [MPaA]</t>
    <phoneticPr fontId="2"/>
  </si>
  <si>
    <t>排気速度補正１[-]</t>
    <rPh sb="0" eb="4">
      <t>ハイキソクド</t>
    </rPh>
    <rPh sb="4" eb="6">
      <t>ホセイ</t>
    </rPh>
    <phoneticPr fontId="2"/>
  </si>
  <si>
    <t>pump_correction_factor_1</t>
    <phoneticPr fontId="2"/>
  </si>
  <si>
    <t>排気速度補正２[-]</t>
    <rPh sb="0" eb="4">
      <t>ハイキソクド</t>
    </rPh>
    <rPh sb="4" eb="6">
      <t>ホセイ</t>
    </rPh>
    <phoneticPr fontId="2"/>
  </si>
  <si>
    <t>pump_correction_factor_2</t>
    <phoneticPr fontId="2"/>
  </si>
  <si>
    <t>初期CO2分圧[MPaA]</t>
    <rPh sb="0" eb="2">
      <t>ショキ</t>
    </rPh>
    <rPh sb="5" eb="7">
      <t>ブンアツ</t>
    </rPh>
    <phoneticPr fontId="2"/>
  </si>
  <si>
    <t>initial_co2_partial_pressure</t>
    <phoneticPr fontId="2"/>
  </si>
  <si>
    <t>initial_co2_mole_fraction</t>
    <phoneticPr fontId="2"/>
  </si>
  <si>
    <t>initial_n2_mole_fraction</t>
    <phoneticPr fontId="2"/>
  </si>
  <si>
    <t>初期CO2モル分率[-]</t>
    <rPh sb="0" eb="2">
      <t>ショキ</t>
    </rPh>
    <rPh sb="7" eb="9">
      <t>ブンリツ</t>
    </rPh>
    <phoneticPr fontId="2"/>
  </si>
  <si>
    <t>初期N2モル分率[-]</t>
    <rPh sb="0" eb="2">
      <t>ショキ</t>
    </rPh>
    <rPh sb="6" eb="8">
      <t>ブンリツ</t>
    </rPh>
    <phoneticPr fontId="2"/>
  </si>
  <si>
    <t>初期N2分圧[MPaA]</t>
    <rPh sb="0" eb="2">
      <t>ショキ</t>
    </rPh>
    <rPh sb="4" eb="6">
      <t>ブンアツ</t>
    </rPh>
    <phoneticPr fontId="2"/>
  </si>
  <si>
    <t>initial_n2_partial_pressure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</si>
</sst>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#,##0.0000"/>
    <numFmt numFmtId="178" formatCode="#,##0.00000"/>
    <numFmt numFmtId="179" formatCode="#,##0.000000"/>
    <numFmt numFmtId="183" formatCode="#,##0.00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D9D9D9"/>
      </patternFill>
    </fill>
    <fill>
      <patternFill patternType="solid">
        <fgColor rgb="FFFBFE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FECE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4" fontId="1" fillId="4" borderId="1" xfId="0" applyNumberFormat="1" applyFont="1" applyFill="1" applyBorder="1" applyAlignment="1">
      <alignment horizontal="right"/>
    </xf>
    <xf numFmtId="3" fontId="1" fillId="4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" fontId="4" fillId="4" borderId="1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176" fontId="4" fillId="4" borderId="1" xfId="0" applyNumberFormat="1" applyFont="1" applyFill="1" applyBorder="1" applyAlignment="1">
      <alignment horizontal="right"/>
    </xf>
    <xf numFmtId="4" fontId="4" fillId="4" borderId="3" xfId="0" applyNumberFormat="1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5" borderId="4" xfId="0" applyFont="1" applyFill="1" applyBorder="1" applyAlignment="1"/>
    <xf numFmtId="0" fontId="0" fillId="5" borderId="4" xfId="0" applyFill="1" applyBorder="1">
      <alignment vertical="center"/>
    </xf>
    <xf numFmtId="0" fontId="5" fillId="5" borderId="4" xfId="0" applyFont="1" applyFill="1" applyBorder="1" applyAlignment="1"/>
    <xf numFmtId="0" fontId="4" fillId="5" borderId="4" xfId="0" applyFont="1" applyFill="1" applyBorder="1">
      <alignment vertical="center"/>
    </xf>
    <xf numFmtId="176" fontId="4" fillId="3" borderId="1" xfId="0" applyNumberFormat="1" applyFont="1" applyFill="1" applyBorder="1" applyAlignment="1">
      <alignment horizontal="right"/>
    </xf>
    <xf numFmtId="3" fontId="4" fillId="4" borderId="3" xfId="0" applyNumberFormat="1" applyFont="1" applyFill="1" applyBorder="1" applyAlignment="1">
      <alignment horizontal="right"/>
    </xf>
    <xf numFmtId="0" fontId="4" fillId="0" borderId="0" xfId="0" applyFont="1">
      <alignment vertical="center"/>
    </xf>
    <xf numFmtId="177" fontId="4" fillId="3" borderId="1" xfId="0" applyNumberFormat="1" applyFont="1" applyFill="1" applyBorder="1" applyAlignment="1">
      <alignment horizontal="right"/>
    </xf>
    <xf numFmtId="178" fontId="4" fillId="3" borderId="1" xfId="0" applyNumberFormat="1" applyFont="1" applyFill="1" applyBorder="1" applyAlignment="1">
      <alignment horizontal="right"/>
    </xf>
    <xf numFmtId="177" fontId="4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/>
    <xf numFmtId="0" fontId="1" fillId="2" borderId="1" xfId="0" applyFont="1" applyFill="1" applyBorder="1" applyAlignment="1"/>
    <xf numFmtId="179" fontId="4" fillId="4" borderId="1" xfId="0" applyNumberFormat="1" applyFont="1" applyFill="1" applyBorder="1" applyAlignment="1">
      <alignment horizontal="right"/>
    </xf>
    <xf numFmtId="179" fontId="4" fillId="3" borderId="1" xfId="0" applyNumberFormat="1" applyFont="1" applyFill="1" applyBorder="1" applyAlignment="1">
      <alignment horizontal="right"/>
    </xf>
    <xf numFmtId="4" fontId="1" fillId="6" borderId="1" xfId="0" applyNumberFormat="1" applyFont="1" applyFill="1" applyBorder="1" applyAlignment="1">
      <alignment horizontal="right"/>
    </xf>
    <xf numFmtId="3" fontId="1" fillId="6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4" fontId="4" fillId="7" borderId="5" xfId="0" applyNumberFormat="1" applyFont="1" applyFill="1" applyBorder="1" applyAlignment="1">
      <alignment horizontal="right"/>
    </xf>
    <xf numFmtId="4" fontId="4" fillId="4" borderId="5" xfId="0" applyNumberFormat="1" applyFont="1" applyFill="1" applyBorder="1" applyAlignment="1">
      <alignment horizontal="right"/>
    </xf>
    <xf numFmtId="0" fontId="4" fillId="3" borderId="4" xfId="0" applyFont="1" applyFill="1" applyBorder="1" applyAlignment="1">
      <alignment horizontal="left"/>
    </xf>
    <xf numFmtId="0" fontId="0" fillId="7" borderId="4" xfId="0" applyFill="1" applyBorder="1">
      <alignment vertical="center"/>
    </xf>
    <xf numFmtId="0" fontId="4" fillId="0" borderId="4" xfId="0" applyFont="1" applyBorder="1" applyAlignment="1">
      <alignment horizontal="left"/>
    </xf>
    <xf numFmtId="183" fontId="0" fillId="7" borderId="4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B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110F-81EA-4DE9-8164-CCA712454EAB}">
  <dimension ref="A1:E6"/>
  <sheetViews>
    <sheetView workbookViewId="0">
      <selection activeCell="F8" sqref="F8"/>
    </sheetView>
  </sheetViews>
  <sheetFormatPr defaultRowHeight="18.75" x14ac:dyDescent="0.4"/>
  <cols>
    <col min="1" max="1" width="26.25" customWidth="1"/>
    <col min="2" max="2" width="16.5" customWidth="1"/>
  </cols>
  <sheetData>
    <row r="1" spans="1:5" x14ac:dyDescent="0.4">
      <c r="A1" s="28" t="s">
        <v>84</v>
      </c>
      <c r="B1" s="29" t="s">
        <v>83</v>
      </c>
      <c r="C1" s="18" t="s">
        <v>18</v>
      </c>
      <c r="D1" s="19" t="s">
        <v>19</v>
      </c>
      <c r="E1" s="19" t="s">
        <v>20</v>
      </c>
    </row>
    <row r="2" spans="1:5" x14ac:dyDescent="0.4">
      <c r="A2" s="1" t="s">
        <v>0</v>
      </c>
      <c r="B2" s="2" t="s">
        <v>85</v>
      </c>
      <c r="C2" s="3">
        <v>0.01</v>
      </c>
      <c r="D2" s="32">
        <f>C2</f>
        <v>0.01</v>
      </c>
      <c r="E2" s="32">
        <f>C2</f>
        <v>0.01</v>
      </c>
    </row>
    <row r="3" spans="1:5" x14ac:dyDescent="0.4">
      <c r="A3" s="1" t="s">
        <v>1</v>
      </c>
      <c r="B3" s="2" t="s">
        <v>86</v>
      </c>
      <c r="C3" s="4">
        <v>2</v>
      </c>
      <c r="D3" s="33">
        <f>C3</f>
        <v>2</v>
      </c>
      <c r="E3" s="33">
        <f>C3</f>
        <v>2</v>
      </c>
    </row>
    <row r="4" spans="1:5" x14ac:dyDescent="0.4">
      <c r="A4" s="1" t="s">
        <v>2</v>
      </c>
      <c r="B4" s="2" t="s">
        <v>87</v>
      </c>
      <c r="C4" s="4">
        <v>20</v>
      </c>
      <c r="D4" s="33">
        <f>C4</f>
        <v>20</v>
      </c>
      <c r="E4" s="33">
        <f>C4</f>
        <v>20</v>
      </c>
    </row>
    <row r="5" spans="1:5" x14ac:dyDescent="0.4">
      <c r="A5" s="1" t="s">
        <v>192</v>
      </c>
      <c r="B5" s="2" t="s">
        <v>193</v>
      </c>
      <c r="C5" s="4">
        <v>0</v>
      </c>
      <c r="D5" s="33">
        <v>0</v>
      </c>
      <c r="E5" s="33">
        <v>0</v>
      </c>
    </row>
    <row r="6" spans="1:5" x14ac:dyDescent="0.4">
      <c r="A6" s="1" t="s">
        <v>194</v>
      </c>
      <c r="B6" s="2" t="s">
        <v>195</v>
      </c>
      <c r="C6" s="4" t="s">
        <v>196</v>
      </c>
      <c r="D6" s="33" t="s">
        <v>196</v>
      </c>
      <c r="E6" s="33" t="s">
        <v>196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B63D-4600-4803-A7A4-1A6E34BCFA6A}">
  <dimension ref="A1:E27"/>
  <sheetViews>
    <sheetView tabSelected="1" topLeftCell="A15" workbookViewId="0">
      <selection activeCell="C28" sqref="C28"/>
    </sheetView>
  </sheetViews>
  <sheetFormatPr defaultRowHeight="18.75" x14ac:dyDescent="0.4"/>
  <cols>
    <col min="1" max="1" width="29.25" customWidth="1"/>
    <col min="2" max="2" width="31.25" bestFit="1" customWidth="1"/>
    <col min="3" max="3" width="15" customWidth="1"/>
  </cols>
  <sheetData>
    <row r="1" spans="1:5" x14ac:dyDescent="0.4">
      <c r="A1" s="16" t="s">
        <v>3</v>
      </c>
      <c r="B1" s="17" t="s">
        <v>82</v>
      </c>
      <c r="C1" s="18" t="s">
        <v>18</v>
      </c>
      <c r="D1" s="19" t="s">
        <v>19</v>
      </c>
      <c r="E1" s="19" t="s">
        <v>20</v>
      </c>
    </row>
    <row r="2" spans="1:5" x14ac:dyDescent="0.4">
      <c r="A2" s="14" t="s">
        <v>4</v>
      </c>
      <c r="B2" s="15" t="s">
        <v>88</v>
      </c>
      <c r="C2" s="12">
        <v>0.1552</v>
      </c>
      <c r="D2" s="12">
        <v>0.1552</v>
      </c>
      <c r="E2" s="12">
        <v>0.1552</v>
      </c>
    </row>
    <row r="3" spans="1:5" x14ac:dyDescent="0.4">
      <c r="A3" s="6" t="s">
        <v>5</v>
      </c>
      <c r="B3" s="6" t="s">
        <v>89</v>
      </c>
      <c r="C3" s="8">
        <f>C2/2</f>
        <v>7.7600000000000002E-2</v>
      </c>
      <c r="D3" s="8">
        <f>D2/2</f>
        <v>7.7600000000000002E-2</v>
      </c>
      <c r="E3" s="8">
        <f>E2/2</f>
        <v>7.7600000000000002E-2</v>
      </c>
    </row>
    <row r="4" spans="1:5" x14ac:dyDescent="0.4">
      <c r="A4" s="6" t="s">
        <v>6</v>
      </c>
      <c r="B4" s="6" t="s">
        <v>180</v>
      </c>
      <c r="C4" s="8">
        <f>PI()*C3^2</f>
        <v>1.8917916977680874E-2</v>
      </c>
      <c r="D4" s="8">
        <f>PI()*D3^2</f>
        <v>1.8917916977680874E-2</v>
      </c>
      <c r="E4" s="8">
        <f>PI()*E3^2</f>
        <v>1.8917916977680874E-2</v>
      </c>
    </row>
    <row r="5" spans="1:5" x14ac:dyDescent="0.4">
      <c r="A5" s="5" t="s">
        <v>7</v>
      </c>
      <c r="B5" s="6" t="s">
        <v>90</v>
      </c>
      <c r="C5" s="7">
        <v>0.86799999999999999</v>
      </c>
      <c r="D5" s="7">
        <v>0.86799999999999999</v>
      </c>
      <c r="E5" s="7">
        <v>0.86799999999999999</v>
      </c>
    </row>
    <row r="6" spans="1:5" x14ac:dyDescent="0.4">
      <c r="A6" s="6" t="s">
        <v>8</v>
      </c>
      <c r="B6" s="6" t="s">
        <v>91</v>
      </c>
      <c r="C6" s="8">
        <f>C4*C5</f>
        <v>1.6420751936626999E-2</v>
      </c>
      <c r="D6" s="8">
        <f>D4*D5</f>
        <v>1.6420751936626999E-2</v>
      </c>
      <c r="E6" s="8">
        <f>E4*E5</f>
        <v>1.6420751936626999E-2</v>
      </c>
    </row>
    <row r="7" spans="1:5" x14ac:dyDescent="0.4">
      <c r="A7" s="5" t="s">
        <v>9</v>
      </c>
      <c r="B7" s="6" t="s">
        <v>92</v>
      </c>
      <c r="C7" s="9">
        <v>10800</v>
      </c>
      <c r="D7" s="9">
        <v>10800</v>
      </c>
      <c r="E7" s="9">
        <v>10800</v>
      </c>
    </row>
    <row r="8" spans="1:5" x14ac:dyDescent="0.4">
      <c r="A8" s="6" t="s">
        <v>106</v>
      </c>
      <c r="B8" s="6" t="s">
        <v>93</v>
      </c>
      <c r="C8" s="8">
        <f>C7/C6/1000000</f>
        <v>0.65770435127944804</v>
      </c>
      <c r="D8" s="8">
        <f>D7/D6/1000000</f>
        <v>0.65770435127944804</v>
      </c>
      <c r="E8" s="8">
        <f>E7/E6/1000000</f>
        <v>0.65770435127944804</v>
      </c>
    </row>
    <row r="9" spans="1:5" x14ac:dyDescent="0.4">
      <c r="A9" s="5" t="s">
        <v>10</v>
      </c>
      <c r="B9" s="6" t="s">
        <v>94</v>
      </c>
      <c r="C9" s="7">
        <v>1.135</v>
      </c>
      <c r="D9" s="7">
        <v>1.135</v>
      </c>
      <c r="E9" s="7">
        <v>1.135</v>
      </c>
    </row>
    <row r="10" spans="1:5" x14ac:dyDescent="0.4">
      <c r="A10" s="5" t="s">
        <v>107</v>
      </c>
      <c r="B10" s="6" t="s">
        <v>95</v>
      </c>
      <c r="C10" s="7">
        <v>0.3</v>
      </c>
      <c r="D10" s="7">
        <v>0.3</v>
      </c>
      <c r="E10" s="7">
        <v>0.3</v>
      </c>
    </row>
    <row r="11" spans="1:5" x14ac:dyDescent="0.4">
      <c r="A11" s="5" t="s">
        <v>108</v>
      </c>
      <c r="B11" s="6" t="s">
        <v>96</v>
      </c>
      <c r="C11" s="7">
        <v>0.8</v>
      </c>
      <c r="D11" s="7">
        <v>0.8</v>
      </c>
      <c r="E11" s="7">
        <v>0.8</v>
      </c>
    </row>
    <row r="12" spans="1:5" x14ac:dyDescent="0.4">
      <c r="A12" s="6" t="s">
        <v>11</v>
      </c>
      <c r="B12" s="6" t="s">
        <v>97</v>
      </c>
      <c r="C12" s="10">
        <f>C11*C7</f>
        <v>8640</v>
      </c>
      <c r="D12" s="10">
        <f>D11*D7</f>
        <v>8640</v>
      </c>
      <c r="E12" s="10">
        <f>E11*E7</f>
        <v>8640</v>
      </c>
    </row>
    <row r="13" spans="1:5" x14ac:dyDescent="0.4">
      <c r="A13" s="5" t="s">
        <v>12</v>
      </c>
      <c r="B13" s="6" t="s">
        <v>98</v>
      </c>
      <c r="C13" s="7">
        <v>0.36</v>
      </c>
      <c r="D13" s="7">
        <v>0.36</v>
      </c>
      <c r="E13" s="7">
        <v>0.36</v>
      </c>
    </row>
    <row r="14" spans="1:5" x14ac:dyDescent="0.4">
      <c r="A14" s="5" t="s">
        <v>13</v>
      </c>
      <c r="B14" s="6" t="s">
        <v>99</v>
      </c>
      <c r="C14" s="11">
        <v>1E-3</v>
      </c>
      <c r="D14" s="11">
        <v>1E-3</v>
      </c>
      <c r="E14" s="11">
        <v>1E-3</v>
      </c>
    </row>
    <row r="15" spans="1:5" x14ac:dyDescent="0.4">
      <c r="A15" s="5" t="s">
        <v>14</v>
      </c>
      <c r="B15" s="6" t="s">
        <v>100</v>
      </c>
      <c r="C15" s="9">
        <v>1</v>
      </c>
      <c r="D15" s="9">
        <v>1</v>
      </c>
      <c r="E15" s="9">
        <v>1</v>
      </c>
    </row>
    <row r="16" spans="1:5" x14ac:dyDescent="0.4">
      <c r="A16" s="5" t="s">
        <v>197</v>
      </c>
      <c r="B16" s="6" t="s">
        <v>101</v>
      </c>
      <c r="C16" s="11">
        <v>9.9000000000000005E-2</v>
      </c>
      <c r="D16" s="11">
        <v>4.0000000000000001E-3</v>
      </c>
      <c r="E16" s="11">
        <v>4.0000000000000001E-3</v>
      </c>
    </row>
    <row r="17" spans="1:5" x14ac:dyDescent="0.4">
      <c r="A17" s="5" t="s">
        <v>15</v>
      </c>
      <c r="B17" s="6" t="s">
        <v>181</v>
      </c>
      <c r="C17" s="7">
        <v>3.5</v>
      </c>
      <c r="D17" s="7">
        <v>3.5</v>
      </c>
      <c r="E17" s="7">
        <v>3.5</v>
      </c>
    </row>
    <row r="18" spans="1:5" x14ac:dyDescent="0.4">
      <c r="A18" s="5" t="s">
        <v>16</v>
      </c>
      <c r="B18" s="6" t="s">
        <v>182</v>
      </c>
      <c r="C18" s="7">
        <v>0.65</v>
      </c>
      <c r="D18" s="7">
        <v>0.65</v>
      </c>
      <c r="E18" s="7">
        <v>0.65</v>
      </c>
    </row>
    <row r="19" spans="1:5" x14ac:dyDescent="0.4">
      <c r="A19" s="5" t="s">
        <v>17</v>
      </c>
      <c r="B19" s="6" t="s">
        <v>102</v>
      </c>
      <c r="C19" s="8">
        <f>C4*C5*C13</f>
        <v>5.9114706971857191E-3</v>
      </c>
      <c r="D19" s="8">
        <f>D4*D5*D13</f>
        <v>5.9114706971857191E-3</v>
      </c>
      <c r="E19" s="8">
        <f>E4*E5*E13</f>
        <v>5.9114706971857191E-3</v>
      </c>
    </row>
    <row r="20" spans="1:5" x14ac:dyDescent="0.4">
      <c r="A20" s="5" t="s">
        <v>109</v>
      </c>
      <c r="B20" s="6" t="s">
        <v>103</v>
      </c>
      <c r="C20" s="11">
        <v>7.0000000000000007E-2</v>
      </c>
      <c r="D20" s="11">
        <v>7.0000000000000007E-2</v>
      </c>
      <c r="E20" s="11">
        <v>7.0000000000000007E-2</v>
      </c>
    </row>
    <row r="21" spans="1:5" x14ac:dyDescent="0.4">
      <c r="A21" s="5" t="s">
        <v>110</v>
      </c>
      <c r="B21" s="6" t="s">
        <v>104</v>
      </c>
      <c r="C21" s="11">
        <v>5.0000000000000001E-3</v>
      </c>
      <c r="D21" s="11">
        <v>5.0000000000000001E-3</v>
      </c>
      <c r="E21" s="11">
        <v>5.0000000000000001E-3</v>
      </c>
    </row>
    <row r="22" spans="1:5" x14ac:dyDescent="0.4">
      <c r="A22" s="35" t="s">
        <v>189</v>
      </c>
      <c r="B22" s="36" t="s">
        <v>105</v>
      </c>
      <c r="C22" s="8">
        <f>C24*1000*(252.0724-0.50989705*(C23+273.15))/(C24*1000-3554.54819062669*POWER(1-0.0655247236249063*POWER((C23+273.15),0.5),3)+1.7354268)</f>
        <v>29.369587644028165</v>
      </c>
      <c r="D22" s="8">
        <f t="shared" ref="D22:E22" si="0">D24*1000*(252.0724-0.50989705*(D23+273.15))/(D24*1000-3554.54819062669*POWER(1-0.0655247236249063*POWER((D23+273.15),0.5),3)+1.7354268)</f>
        <v>31.294590005165745</v>
      </c>
      <c r="E22" s="8">
        <f t="shared" si="0"/>
        <v>32.296202340743719</v>
      </c>
    </row>
    <row r="23" spans="1:5" x14ac:dyDescent="0.4">
      <c r="A23" s="41" t="s">
        <v>183</v>
      </c>
      <c r="B23" s="39" t="s">
        <v>184</v>
      </c>
      <c r="C23" s="40">
        <v>18</v>
      </c>
      <c r="D23" s="40">
        <v>16</v>
      </c>
      <c r="E23" s="40">
        <v>15</v>
      </c>
    </row>
    <row r="24" spans="1:5" x14ac:dyDescent="0.4">
      <c r="A24" s="41" t="s">
        <v>202</v>
      </c>
      <c r="B24" s="39" t="s">
        <v>203</v>
      </c>
      <c r="C24" s="40">
        <v>3.0000000000000001E-3</v>
      </c>
      <c r="D24" s="40">
        <v>3.0000000000000001E-3</v>
      </c>
      <c r="E24" s="40">
        <v>3.0000000000000001E-3</v>
      </c>
    </row>
    <row r="25" spans="1:5" x14ac:dyDescent="0.4">
      <c r="A25" s="41" t="s">
        <v>208</v>
      </c>
      <c r="B25" s="39" t="s">
        <v>209</v>
      </c>
      <c r="C25" s="42">
        <f>C16-C24</f>
        <v>9.6000000000000002E-2</v>
      </c>
      <c r="D25" s="42">
        <f t="shared" ref="D25:E25" si="1">D16-D24</f>
        <v>1E-3</v>
      </c>
      <c r="E25" s="42">
        <f t="shared" si="1"/>
        <v>1E-3</v>
      </c>
    </row>
    <row r="26" spans="1:5" x14ac:dyDescent="0.4">
      <c r="A26" s="41" t="s">
        <v>206</v>
      </c>
      <c r="B26" s="39" t="s">
        <v>204</v>
      </c>
      <c r="C26" s="8">
        <f>C24/C16</f>
        <v>3.0303030303030304E-2</v>
      </c>
      <c r="D26" s="8">
        <f t="shared" ref="D26:E26" si="2">D24/D16</f>
        <v>0.75</v>
      </c>
      <c r="E26" s="8">
        <f t="shared" si="2"/>
        <v>0.75</v>
      </c>
    </row>
    <row r="27" spans="1:5" x14ac:dyDescent="0.4">
      <c r="A27" s="41" t="s">
        <v>207</v>
      </c>
      <c r="B27" s="39" t="s">
        <v>205</v>
      </c>
      <c r="C27" s="8">
        <f>1-C26</f>
        <v>0.96969696969696972</v>
      </c>
      <c r="D27" s="8">
        <f t="shared" ref="D27:E27" si="3">1-D26</f>
        <v>0.25</v>
      </c>
      <c r="E27" s="8">
        <f t="shared" si="3"/>
        <v>0.25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1195-D60F-4C12-928E-0E507A54491E}">
  <dimension ref="A1:E28"/>
  <sheetViews>
    <sheetView topLeftCell="A4" workbookViewId="0">
      <selection activeCell="A9" sqref="A9"/>
    </sheetView>
  </sheetViews>
  <sheetFormatPr defaultRowHeight="18.75" x14ac:dyDescent="0.4"/>
  <cols>
    <col min="1" max="1" width="26.125" customWidth="1"/>
    <col min="2" max="2" width="16.75" customWidth="1"/>
    <col min="3" max="3" width="13" customWidth="1"/>
    <col min="4" max="5" width="12.125" customWidth="1"/>
  </cols>
  <sheetData>
    <row r="1" spans="1:5" x14ac:dyDescent="0.4">
      <c r="A1" s="13" t="s">
        <v>38</v>
      </c>
      <c r="B1" s="29" t="s">
        <v>83</v>
      </c>
      <c r="C1" s="18" t="s">
        <v>18</v>
      </c>
      <c r="D1" s="21" t="s">
        <v>19</v>
      </c>
      <c r="E1" s="21" t="s">
        <v>20</v>
      </c>
    </row>
    <row r="2" spans="1:5" x14ac:dyDescent="0.4">
      <c r="A2" s="5" t="s">
        <v>39</v>
      </c>
      <c r="B2" s="15" t="s">
        <v>111</v>
      </c>
      <c r="C2" s="9">
        <v>44</v>
      </c>
      <c r="D2" s="9">
        <v>44</v>
      </c>
      <c r="E2" s="9">
        <v>44</v>
      </c>
    </row>
    <row r="3" spans="1:5" x14ac:dyDescent="0.4">
      <c r="A3" s="5" t="s">
        <v>186</v>
      </c>
      <c r="B3" s="15" t="s">
        <v>187</v>
      </c>
      <c r="C3" s="11">
        <v>2.6</v>
      </c>
      <c r="D3" s="11">
        <v>2.6</v>
      </c>
      <c r="E3" s="11">
        <v>2.6</v>
      </c>
    </row>
    <row r="4" spans="1:5" x14ac:dyDescent="0.4">
      <c r="A4" s="6" t="s">
        <v>40</v>
      </c>
      <c r="B4" s="6" t="s">
        <v>112</v>
      </c>
      <c r="C4" s="9">
        <f>C3*((C$10+273.15)/273.15)*(0.101325/C$9)*1000/60</f>
        <v>46.800910214168042</v>
      </c>
      <c r="D4" s="9">
        <f t="shared" ref="D4:E4" si="0">D3*((D$10+273.15)/273.15)*(0.101325/D$9)*1000/60</f>
        <v>46.800910214168042</v>
      </c>
      <c r="E4" s="9">
        <f t="shared" si="0"/>
        <v>46.800910214168042</v>
      </c>
    </row>
    <row r="5" spans="1:5" x14ac:dyDescent="0.4">
      <c r="A5" s="5" t="s">
        <v>41</v>
      </c>
      <c r="B5" s="6" t="s">
        <v>113</v>
      </c>
      <c r="C5" s="9">
        <v>28</v>
      </c>
      <c r="D5" s="9">
        <v>28</v>
      </c>
      <c r="E5" s="9">
        <v>28</v>
      </c>
    </row>
    <row r="6" spans="1:5" x14ac:dyDescent="0.4">
      <c r="A6" s="5" t="s">
        <v>185</v>
      </c>
      <c r="B6" s="6" t="s">
        <v>188</v>
      </c>
      <c r="C6" s="11">
        <v>2.8</v>
      </c>
      <c r="D6" s="11">
        <v>2.8</v>
      </c>
      <c r="E6" s="11">
        <v>2.8</v>
      </c>
    </row>
    <row r="7" spans="1:5" x14ac:dyDescent="0.4">
      <c r="A7" s="6" t="s">
        <v>42</v>
      </c>
      <c r="B7" s="6" t="s">
        <v>114</v>
      </c>
      <c r="C7" s="9">
        <f>C6*((C$10+273.15)/273.15)*(0.101325/C$9)*1000/60</f>
        <v>50.400980230642503</v>
      </c>
      <c r="D7" s="9">
        <f t="shared" ref="D7:E7" si="1">D6*((D$10+273.15)/273.15)*(0.101325/D$9)*1000/60</f>
        <v>50.400980230642503</v>
      </c>
      <c r="E7" s="9">
        <f t="shared" si="1"/>
        <v>50.400980230642503</v>
      </c>
    </row>
    <row r="8" spans="1:5" x14ac:dyDescent="0.4">
      <c r="A8" s="6" t="s">
        <v>43</v>
      </c>
      <c r="B8" s="6" t="s">
        <v>115</v>
      </c>
      <c r="C8" s="10">
        <f>C4+C7</f>
        <v>97.201890444810545</v>
      </c>
      <c r="D8" s="10">
        <f>D4+D7</f>
        <v>97.201890444810545</v>
      </c>
      <c r="E8" s="10">
        <f>E4+E7</f>
        <v>97.201890444810545</v>
      </c>
    </row>
    <row r="9" spans="1:5" x14ac:dyDescent="0.4">
      <c r="A9" s="5" t="s">
        <v>44</v>
      </c>
      <c r="B9" s="6" t="s">
        <v>116</v>
      </c>
      <c r="C9" s="7">
        <v>0.1</v>
      </c>
      <c r="D9" s="7">
        <v>0.1</v>
      </c>
      <c r="E9" s="7">
        <v>0.1</v>
      </c>
    </row>
    <row r="10" spans="1:5" x14ac:dyDescent="0.4">
      <c r="A10" s="5" t="s">
        <v>45</v>
      </c>
      <c r="B10" s="6" t="s">
        <v>117</v>
      </c>
      <c r="C10" s="9">
        <v>18</v>
      </c>
      <c r="D10" s="9">
        <v>18</v>
      </c>
      <c r="E10" s="9">
        <v>18</v>
      </c>
    </row>
    <row r="11" spans="1:5" x14ac:dyDescent="0.4">
      <c r="A11" s="6" t="s">
        <v>46</v>
      </c>
      <c r="B11" s="6" t="s">
        <v>118</v>
      </c>
      <c r="C11" s="8">
        <f>C4/C8</f>
        <v>0.48148148148148151</v>
      </c>
      <c r="D11" s="8">
        <f>D4/D8</f>
        <v>0.48148148148148151</v>
      </c>
      <c r="E11" s="8">
        <f>E4/E8</f>
        <v>0.48148148148148151</v>
      </c>
    </row>
    <row r="12" spans="1:5" x14ac:dyDescent="0.4">
      <c r="A12" s="6" t="s">
        <v>47</v>
      </c>
      <c r="B12" s="6" t="s">
        <v>119</v>
      </c>
      <c r="C12" s="8">
        <f>C7/C8</f>
        <v>0.51851851851851849</v>
      </c>
      <c r="D12" s="8">
        <f>D7/D8</f>
        <v>0.51851851851851849</v>
      </c>
      <c r="E12" s="8">
        <f>E7/E8</f>
        <v>0.51851851851851849</v>
      </c>
    </row>
    <row r="13" spans="1:5" x14ac:dyDescent="0.4">
      <c r="A13" s="5" t="s">
        <v>48</v>
      </c>
      <c r="B13" s="6" t="s">
        <v>120</v>
      </c>
      <c r="C13" s="7">
        <v>1.8829980740000001</v>
      </c>
      <c r="D13" s="7">
        <v>1.8829980740000001</v>
      </c>
      <c r="E13" s="7">
        <v>1.8829980740000001</v>
      </c>
    </row>
    <row r="14" spans="1:5" x14ac:dyDescent="0.4">
      <c r="A14" s="5" t="s">
        <v>49</v>
      </c>
      <c r="B14" s="6" t="s">
        <v>121</v>
      </c>
      <c r="C14" s="7">
        <v>1.1922472150000001</v>
      </c>
      <c r="D14" s="7">
        <v>1.1922472150000001</v>
      </c>
      <c r="E14" s="7">
        <v>1.1922472150000001</v>
      </c>
    </row>
    <row r="15" spans="1:5" x14ac:dyDescent="0.4">
      <c r="A15" s="6" t="s">
        <v>50</v>
      </c>
      <c r="B15" s="6" t="s">
        <v>122</v>
      </c>
      <c r="C15" s="8">
        <f>C13*C11+C14*C12</f>
        <v>1.5248309619259262</v>
      </c>
      <c r="D15" s="8">
        <f>D13*D11+D14*D12</f>
        <v>1.5248309619259262</v>
      </c>
      <c r="E15" s="8">
        <f>E13*E11+E14*E12</f>
        <v>1.5248309619259262</v>
      </c>
    </row>
    <row r="16" spans="1:5" x14ac:dyDescent="0.4">
      <c r="A16" s="5" t="s">
        <v>51</v>
      </c>
      <c r="B16" s="6" t="s">
        <v>123</v>
      </c>
      <c r="C16" s="7">
        <v>1.6083291999999999E-2</v>
      </c>
      <c r="D16" s="7">
        <v>1.6083291999999999E-2</v>
      </c>
      <c r="E16" s="7">
        <v>1.6083291999999999E-2</v>
      </c>
    </row>
    <row r="17" spans="1:5" x14ac:dyDescent="0.4">
      <c r="A17" s="5" t="s">
        <v>52</v>
      </c>
      <c r="B17" s="6" t="s">
        <v>124</v>
      </c>
      <c r="C17" s="7">
        <v>2.5327674000000001E-2</v>
      </c>
      <c r="D17" s="7">
        <v>2.5327674000000001E-2</v>
      </c>
      <c r="E17" s="7">
        <v>2.5327674000000001E-2</v>
      </c>
    </row>
    <row r="18" spans="1:5" x14ac:dyDescent="0.4">
      <c r="A18" s="6" t="s">
        <v>53</v>
      </c>
      <c r="B18" s="6" t="s">
        <v>125</v>
      </c>
      <c r="C18" s="8">
        <f>C16*C11+C17*C12</f>
        <v>2.0876675259259261E-2</v>
      </c>
      <c r="D18" s="8">
        <f>D16*D11+D17*D12</f>
        <v>2.0876675259259261E-2</v>
      </c>
      <c r="E18" s="8">
        <f>E16*E11+E17*E12</f>
        <v>2.0876675259259261E-2</v>
      </c>
    </row>
    <row r="19" spans="1:5" x14ac:dyDescent="0.4">
      <c r="A19" s="5" t="s">
        <v>54</v>
      </c>
      <c r="B19" s="6" t="s">
        <v>126</v>
      </c>
      <c r="C19" s="30">
        <v>1.4600000000000001E-5</v>
      </c>
      <c r="D19" s="30">
        <v>1.4600000000000001E-5</v>
      </c>
      <c r="E19" s="30">
        <v>1.4600000000000001E-5</v>
      </c>
    </row>
    <row r="20" spans="1:5" x14ac:dyDescent="0.4">
      <c r="A20" s="5" t="s">
        <v>55</v>
      </c>
      <c r="B20" s="6" t="s">
        <v>127</v>
      </c>
      <c r="C20" s="30">
        <v>1.7499999999999998E-5</v>
      </c>
      <c r="D20" s="30">
        <v>1.7499999999999998E-5</v>
      </c>
      <c r="E20" s="30">
        <v>1.7499999999999998E-5</v>
      </c>
    </row>
    <row r="21" spans="1:5" x14ac:dyDescent="0.4">
      <c r="A21" s="6" t="s">
        <v>56</v>
      </c>
      <c r="B21" s="6" t="s">
        <v>128</v>
      </c>
      <c r="C21" s="31">
        <f>C19*C11+C20*C12</f>
        <v>1.6103703703703701E-5</v>
      </c>
      <c r="D21" s="31">
        <f>D19*D11+D20*D12</f>
        <v>1.6103703703703701E-5</v>
      </c>
      <c r="E21" s="31">
        <f>E19*E11+E20*E12</f>
        <v>1.6103703703703701E-5</v>
      </c>
    </row>
    <row r="22" spans="1:5" x14ac:dyDescent="0.4">
      <c r="A22" s="5" t="s">
        <v>57</v>
      </c>
      <c r="B22" s="6" t="s">
        <v>58</v>
      </c>
      <c r="C22" s="7">
        <v>411.4</v>
      </c>
      <c r="D22" s="7">
        <v>411.4</v>
      </c>
      <c r="E22" s="7">
        <v>411.4</v>
      </c>
    </row>
    <row r="23" spans="1:5" x14ac:dyDescent="0.4">
      <c r="A23" s="5" t="s">
        <v>59</v>
      </c>
      <c r="B23" s="6" t="s">
        <v>129</v>
      </c>
      <c r="C23" s="7">
        <v>0.84426034000000005</v>
      </c>
      <c r="D23" s="7">
        <v>0.84426034000000005</v>
      </c>
      <c r="E23" s="7">
        <v>0.84426034000000005</v>
      </c>
    </row>
    <row r="24" spans="1:5" x14ac:dyDescent="0.4">
      <c r="A24" s="5" t="s">
        <v>60</v>
      </c>
      <c r="B24" s="6" t="s">
        <v>130</v>
      </c>
      <c r="C24" s="7">
        <v>1.0413669560000001</v>
      </c>
      <c r="D24" s="7">
        <v>1.0413669560000001</v>
      </c>
      <c r="E24" s="7">
        <v>1.0413669560000001</v>
      </c>
    </row>
    <row r="25" spans="1:5" x14ac:dyDescent="0.4">
      <c r="A25" s="6" t="s">
        <v>61</v>
      </c>
      <c r="B25" s="6" t="s">
        <v>131</v>
      </c>
      <c r="C25" s="8">
        <f>C23*C11+C24*C12</f>
        <v>0.9464637705185186</v>
      </c>
      <c r="D25" s="8">
        <f>D23*D11+D24*D12</f>
        <v>0.9464637705185186</v>
      </c>
      <c r="E25" s="8">
        <f>E23*E11+E24*E12</f>
        <v>0.9464637705185186</v>
      </c>
    </row>
    <row r="26" spans="1:5" x14ac:dyDescent="0.4">
      <c r="A26" s="6" t="s">
        <v>62</v>
      </c>
      <c r="B26" s="6" t="s">
        <v>132</v>
      </c>
      <c r="C26" s="8">
        <f>C25*(C4/22.4*C2*60/1000 + C7/22.4*C5*60/1000)</f>
        <v>8.7982279061085436</v>
      </c>
      <c r="D26" s="8">
        <f>D25*(D4/22.4*D2*60/1000 + D7/22.4*D5*60/1000)</f>
        <v>8.7982279061085436</v>
      </c>
      <c r="E26" s="8">
        <f>E25*(E4/22.4*E2*60/1000 + E7/22.4*E5*60/1000)</f>
        <v>8.7982279061085436</v>
      </c>
    </row>
    <row r="27" spans="1:5" x14ac:dyDescent="0.4">
      <c r="A27" s="5" t="s">
        <v>63</v>
      </c>
      <c r="B27" s="6" t="s">
        <v>133</v>
      </c>
      <c r="C27" s="9">
        <v>700</v>
      </c>
      <c r="D27" s="9">
        <v>700</v>
      </c>
      <c r="E27" s="9">
        <v>700</v>
      </c>
    </row>
    <row r="28" spans="1:5" x14ac:dyDescent="0.4">
      <c r="A28" s="5" t="s">
        <v>64</v>
      </c>
      <c r="B28" s="6" t="s">
        <v>134</v>
      </c>
      <c r="C28" s="7">
        <v>642.9</v>
      </c>
      <c r="D28" s="7">
        <v>642.9</v>
      </c>
      <c r="E28" s="7">
        <v>642.9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AD49-B511-4397-97A0-8EA6F6518A6E}">
  <dimension ref="A1:E15"/>
  <sheetViews>
    <sheetView workbookViewId="0">
      <selection activeCell="B14" sqref="B14"/>
    </sheetView>
  </sheetViews>
  <sheetFormatPr defaultRowHeight="18.75" x14ac:dyDescent="0.4"/>
  <cols>
    <col min="1" max="1" width="27.25" customWidth="1"/>
    <col min="2" max="2" width="17" customWidth="1"/>
    <col min="3" max="3" width="17.25" customWidth="1"/>
    <col min="4" max="4" width="15" customWidth="1"/>
    <col min="5" max="5" width="17" customWidth="1"/>
  </cols>
  <sheetData>
    <row r="1" spans="1:5" x14ac:dyDescent="0.4">
      <c r="A1" s="20" t="s">
        <v>21</v>
      </c>
      <c r="B1" s="17" t="s">
        <v>82</v>
      </c>
      <c r="C1" s="18" t="s">
        <v>18</v>
      </c>
      <c r="D1" s="19" t="s">
        <v>19</v>
      </c>
      <c r="E1" s="19" t="s">
        <v>20</v>
      </c>
    </row>
    <row r="2" spans="1:5" x14ac:dyDescent="0.4">
      <c r="A2" s="14" t="s">
        <v>22</v>
      </c>
      <c r="B2" s="15" t="s">
        <v>88</v>
      </c>
      <c r="C2" s="12">
        <v>0.16520000000000001</v>
      </c>
      <c r="D2" s="12">
        <v>0.16520000000000001</v>
      </c>
      <c r="E2" s="12">
        <v>0.16520000000000001</v>
      </c>
    </row>
    <row r="3" spans="1:5" x14ac:dyDescent="0.4">
      <c r="A3" s="6" t="s">
        <v>23</v>
      </c>
      <c r="B3" s="6" t="s">
        <v>89</v>
      </c>
      <c r="C3" s="8">
        <f>C2/2</f>
        <v>8.2600000000000007E-2</v>
      </c>
      <c r="D3" s="8">
        <f>D2/2</f>
        <v>8.2600000000000007E-2</v>
      </c>
      <c r="E3" s="8">
        <f>E2/2</f>
        <v>8.2600000000000007E-2</v>
      </c>
    </row>
    <row r="4" spans="1:5" x14ac:dyDescent="0.4">
      <c r="A4" s="6" t="s">
        <v>24</v>
      </c>
      <c r="B4" s="6" t="s">
        <v>90</v>
      </c>
      <c r="C4" s="8">
        <f>触媒充填層条件!C5</f>
        <v>0.86799999999999999</v>
      </c>
      <c r="D4" s="8">
        <f>触媒充填層条件!D5</f>
        <v>0.86799999999999999</v>
      </c>
      <c r="E4" s="8">
        <f>触媒充填層条件!E5</f>
        <v>0.86799999999999999</v>
      </c>
    </row>
    <row r="5" spans="1:5" x14ac:dyDescent="0.4">
      <c r="A5" s="6" t="s">
        <v>25</v>
      </c>
      <c r="B5" s="6" t="s">
        <v>135</v>
      </c>
      <c r="C5" s="8">
        <f>C3-触媒充填層条件!C3</f>
        <v>5.0000000000000044E-3</v>
      </c>
      <c r="D5" s="8">
        <f>D3-触媒充填層条件!D3</f>
        <v>5.0000000000000044E-3</v>
      </c>
      <c r="E5" s="8">
        <f>E3-触媒充填層条件!E3</f>
        <v>5.0000000000000044E-3</v>
      </c>
    </row>
    <row r="6" spans="1:5" x14ac:dyDescent="0.4">
      <c r="A6" s="6" t="s">
        <v>26</v>
      </c>
      <c r="B6" s="6" t="s">
        <v>136</v>
      </c>
      <c r="C6" s="22">
        <f>PI()*(C3^2-触媒充填層条件!C3^2)</f>
        <v>2.5164157155254285E-3</v>
      </c>
      <c r="D6" s="22">
        <f>PI()*(D3^2-触媒充填層条件!D3^2)</f>
        <v>2.5164157155254285E-3</v>
      </c>
      <c r="E6" s="22">
        <f>PI()*(E3^2-触媒充填層条件!E3^2)</f>
        <v>2.5164157155254285E-3</v>
      </c>
    </row>
    <row r="7" spans="1:5" x14ac:dyDescent="0.4">
      <c r="A7" s="6" t="s">
        <v>27</v>
      </c>
      <c r="B7" s="6" t="s">
        <v>137</v>
      </c>
      <c r="C7" s="22">
        <f>C6*C4</f>
        <v>2.1842488410760718E-3</v>
      </c>
      <c r="D7" s="22">
        <f>D6*D4</f>
        <v>2.1842488410760718E-3</v>
      </c>
      <c r="E7" s="22">
        <f>E6*E4</f>
        <v>2.1842488410760718E-3</v>
      </c>
    </row>
    <row r="8" spans="1:5" x14ac:dyDescent="0.4">
      <c r="A8" s="5" t="s">
        <v>28</v>
      </c>
      <c r="B8" s="6" t="s">
        <v>138</v>
      </c>
      <c r="C8" s="7">
        <v>7.93</v>
      </c>
      <c r="D8" s="7">
        <v>7.93</v>
      </c>
      <c r="E8" s="7">
        <v>7.93</v>
      </c>
    </row>
    <row r="9" spans="1:5" x14ac:dyDescent="0.4">
      <c r="A9" s="6" t="s">
        <v>29</v>
      </c>
      <c r="B9" s="6" t="s">
        <v>139</v>
      </c>
      <c r="C9" s="8">
        <f>C8*C7*1000000</f>
        <v>17321.093309733249</v>
      </c>
      <c r="D9" s="8">
        <f>D8*D7*1000000</f>
        <v>17321.093309733249</v>
      </c>
      <c r="E9" s="8">
        <f>E8*E7*1000000</f>
        <v>17321.093309733249</v>
      </c>
    </row>
    <row r="10" spans="1:5" x14ac:dyDescent="0.4">
      <c r="A10" s="5" t="s">
        <v>30</v>
      </c>
      <c r="B10" s="6" t="s">
        <v>140</v>
      </c>
      <c r="C10" s="7">
        <v>0.59</v>
      </c>
      <c r="D10" s="7">
        <v>0.59</v>
      </c>
      <c r="E10" s="7">
        <v>0.59</v>
      </c>
    </row>
    <row r="11" spans="1:5" x14ac:dyDescent="0.4">
      <c r="A11" s="5" t="s">
        <v>31</v>
      </c>
      <c r="B11" s="6" t="s">
        <v>141</v>
      </c>
      <c r="C11" s="7">
        <v>16.7</v>
      </c>
      <c r="D11" s="7">
        <v>16.7</v>
      </c>
      <c r="E11" s="7">
        <v>16.7</v>
      </c>
    </row>
    <row r="12" spans="1:5" x14ac:dyDescent="0.4">
      <c r="A12" s="6" t="s">
        <v>32</v>
      </c>
      <c r="B12" s="6" t="s">
        <v>142</v>
      </c>
      <c r="C12" s="8">
        <f>PI()*C2*C4</f>
        <v>0.45048428033179344</v>
      </c>
      <c r="D12" s="8">
        <f>PI()*D2*D4</f>
        <v>0.45048428033179344</v>
      </c>
      <c r="E12" s="8">
        <f>PI()*E2*E4</f>
        <v>0.45048428033179344</v>
      </c>
    </row>
    <row r="13" spans="1:5" x14ac:dyDescent="0.4">
      <c r="A13" s="5" t="s">
        <v>33</v>
      </c>
      <c r="B13" s="6" t="s">
        <v>143</v>
      </c>
      <c r="C13" s="9">
        <v>200</v>
      </c>
      <c r="D13" s="9">
        <v>200</v>
      </c>
      <c r="E13" s="9">
        <v>200</v>
      </c>
    </row>
    <row r="14" spans="1:5" x14ac:dyDescent="0.4">
      <c r="A14" s="5" t="s">
        <v>34</v>
      </c>
      <c r="B14" s="6" t="s">
        <v>144</v>
      </c>
      <c r="C14" s="9">
        <v>18</v>
      </c>
      <c r="D14" s="9">
        <v>16</v>
      </c>
      <c r="E14" s="9">
        <v>15</v>
      </c>
    </row>
    <row r="15" spans="1:5" x14ac:dyDescent="0.4">
      <c r="A15" s="5" t="s">
        <v>35</v>
      </c>
      <c r="B15" s="6" t="s">
        <v>145</v>
      </c>
      <c r="C15" s="7">
        <v>0.19</v>
      </c>
      <c r="D15" s="7">
        <v>0.19</v>
      </c>
      <c r="E15" s="7">
        <v>0.19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57E4-EFDB-4E4A-A56C-DDF32DD3A043}">
  <dimension ref="A1:E9"/>
  <sheetViews>
    <sheetView workbookViewId="0">
      <selection activeCell="F12" sqref="F12"/>
    </sheetView>
  </sheetViews>
  <sheetFormatPr defaultRowHeight="18.75" x14ac:dyDescent="0.4"/>
  <cols>
    <col min="1" max="1" width="27.25" bestFit="1" customWidth="1"/>
    <col min="2" max="2" width="15.25" customWidth="1"/>
    <col min="3" max="3" width="13.75" customWidth="1"/>
    <col min="4" max="4" width="11.25" customWidth="1"/>
    <col min="5" max="5" width="12.25" customWidth="1"/>
  </cols>
  <sheetData>
    <row r="1" spans="1:5" x14ac:dyDescent="0.4">
      <c r="A1" s="16" t="s">
        <v>36</v>
      </c>
      <c r="B1" s="29" t="s">
        <v>83</v>
      </c>
      <c r="C1" s="18" t="s">
        <v>18</v>
      </c>
      <c r="D1" s="19" t="s">
        <v>19</v>
      </c>
      <c r="E1" s="19" t="s">
        <v>20</v>
      </c>
    </row>
    <row r="2" spans="1:5" x14ac:dyDescent="0.4">
      <c r="A2" s="14" t="s">
        <v>146</v>
      </c>
      <c r="B2" s="15" t="s">
        <v>162</v>
      </c>
      <c r="C2" s="23">
        <v>280</v>
      </c>
      <c r="D2" s="23">
        <v>280</v>
      </c>
      <c r="E2" s="23">
        <v>280</v>
      </c>
    </row>
    <row r="3" spans="1:5" x14ac:dyDescent="0.4">
      <c r="A3" s="5" t="s">
        <v>147</v>
      </c>
      <c r="B3" s="6" t="s">
        <v>163</v>
      </c>
      <c r="C3" s="9">
        <v>22</v>
      </c>
      <c r="D3" s="9">
        <v>22</v>
      </c>
      <c r="E3" s="9">
        <v>22</v>
      </c>
    </row>
    <row r="4" spans="1:5" x14ac:dyDescent="0.4">
      <c r="A4" s="5" t="s">
        <v>148</v>
      </c>
      <c r="B4" s="6" t="s">
        <v>164</v>
      </c>
      <c r="C4" s="9">
        <v>34</v>
      </c>
      <c r="D4" s="9">
        <v>34</v>
      </c>
      <c r="E4" s="9">
        <v>34</v>
      </c>
    </row>
    <row r="5" spans="1:5" x14ac:dyDescent="0.4">
      <c r="A5" s="6" t="s">
        <v>149</v>
      </c>
      <c r="B5" s="6" t="s">
        <v>165</v>
      </c>
      <c r="C5" s="8">
        <f>((C2/2)^2 - (C4/2)^2) * PI() / 1000000</f>
        <v>6.0667295733472494E-2</v>
      </c>
      <c r="D5" s="8">
        <f>((D2/2)^2 - (D4/2)^2) * PI() / 1000000</f>
        <v>6.0667295733472494E-2</v>
      </c>
      <c r="E5" s="8">
        <f>((E2/2)^2 - (E4/2)^2) * PI() / 1000000</f>
        <v>6.0667295733472494E-2</v>
      </c>
    </row>
    <row r="6" spans="1:5" x14ac:dyDescent="0.4">
      <c r="A6" s="6" t="s">
        <v>150</v>
      </c>
      <c r="B6" s="6" t="s">
        <v>166</v>
      </c>
      <c r="C6" s="8">
        <f>((C2/2)^2 - (C4/2)^2) * PI() * C3 / 1000</f>
        <v>1334.6805061363948</v>
      </c>
      <c r="D6" s="8">
        <f>((D2/2)^2 - (D4/2)^2) * PI() * D3 / 1000</f>
        <v>1334.6805061363948</v>
      </c>
      <c r="E6" s="8">
        <f>((E2/2)^2 - (E4/2)^2) * PI() * E3 / 1000</f>
        <v>1334.6805061363948</v>
      </c>
    </row>
    <row r="7" spans="1:5" x14ac:dyDescent="0.4">
      <c r="A7" s="5" t="s">
        <v>151</v>
      </c>
      <c r="B7" s="6" t="s">
        <v>167</v>
      </c>
      <c r="C7" s="9">
        <v>165</v>
      </c>
      <c r="D7" s="9">
        <v>165</v>
      </c>
      <c r="E7" s="9">
        <v>165</v>
      </c>
    </row>
    <row r="8" spans="1:5" x14ac:dyDescent="0.4">
      <c r="A8" s="6" t="s">
        <v>152</v>
      </c>
      <c r="B8" s="6" t="s">
        <v>168</v>
      </c>
      <c r="C8" s="8">
        <f>((C2/2)^2 - (C7/2)^2) * PI() * C3 / 1000</f>
        <v>884.24052226101708</v>
      </c>
      <c r="D8" s="8">
        <f>((D2/2)^2 - (D7/2)^2) * PI() * D3 / 1000</f>
        <v>884.24052226101708</v>
      </c>
      <c r="E8" s="8">
        <f>((E2/2)^2 - (E7/2)^2) * PI() * E3 / 1000</f>
        <v>884.24052226101708</v>
      </c>
    </row>
    <row r="9" spans="1:5" x14ac:dyDescent="0.4">
      <c r="A9" s="6" t="s">
        <v>153</v>
      </c>
      <c r="B9" s="6" t="s">
        <v>169</v>
      </c>
      <c r="C9" s="8">
        <f>(C6+C8) * 容器壁条件!C8</f>
        <v>17596.043755191473</v>
      </c>
      <c r="D9" s="8">
        <f>(D6+D8) * 容器壁条件!D8</f>
        <v>17596.043755191473</v>
      </c>
      <c r="E9" s="8">
        <f>(E6+E8) * 容器壁条件!E8</f>
        <v>17596.043755191473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4E4F-6ECC-4619-B1C7-9657CBE4F542}">
  <dimension ref="A1:E9"/>
  <sheetViews>
    <sheetView workbookViewId="0">
      <selection activeCell="B9" sqref="B2:B9"/>
    </sheetView>
  </sheetViews>
  <sheetFormatPr defaultColWidth="8.625" defaultRowHeight="18.75" x14ac:dyDescent="0.4"/>
  <cols>
    <col min="1" max="1" width="27.25" style="24" bestFit="1" customWidth="1"/>
    <col min="2" max="2" width="27.75" style="24" bestFit="1" customWidth="1"/>
    <col min="3" max="3" width="13" style="24" customWidth="1"/>
    <col min="4" max="4" width="11.75" style="24" customWidth="1"/>
    <col min="5" max="5" width="12.125" style="24" customWidth="1"/>
    <col min="6" max="16384" width="8.625" style="24"/>
  </cols>
  <sheetData>
    <row r="1" spans="1:5" x14ac:dyDescent="0.4">
      <c r="A1" s="13" t="s">
        <v>37</v>
      </c>
      <c r="B1" s="29" t="s">
        <v>83</v>
      </c>
      <c r="C1" s="18" t="s">
        <v>18</v>
      </c>
      <c r="D1" s="21" t="s">
        <v>19</v>
      </c>
      <c r="E1" s="21" t="s">
        <v>20</v>
      </c>
    </row>
    <row r="2" spans="1:5" x14ac:dyDescent="0.4">
      <c r="A2" s="5" t="s">
        <v>154</v>
      </c>
      <c r="B2" s="15" t="s">
        <v>162</v>
      </c>
      <c r="C2" s="9">
        <v>280</v>
      </c>
      <c r="D2" s="9">
        <v>280</v>
      </c>
      <c r="E2" s="9">
        <v>280</v>
      </c>
    </row>
    <row r="3" spans="1:5" x14ac:dyDescent="0.4">
      <c r="A3" s="5" t="s">
        <v>155</v>
      </c>
      <c r="B3" s="6" t="s">
        <v>163</v>
      </c>
      <c r="C3" s="9">
        <v>22</v>
      </c>
      <c r="D3" s="9">
        <v>22</v>
      </c>
      <c r="E3" s="9">
        <v>22</v>
      </c>
    </row>
    <row r="4" spans="1:5" x14ac:dyDescent="0.4">
      <c r="A4" s="5" t="s">
        <v>156</v>
      </c>
      <c r="B4" s="6" t="s">
        <v>164</v>
      </c>
      <c r="C4" s="7">
        <v>60.5</v>
      </c>
      <c r="D4" s="7">
        <v>60.5</v>
      </c>
      <c r="E4" s="7">
        <v>60.5</v>
      </c>
    </row>
    <row r="5" spans="1:5" x14ac:dyDescent="0.4">
      <c r="A5" s="6" t="s">
        <v>157</v>
      </c>
      <c r="B5" s="6" t="s">
        <v>165</v>
      </c>
      <c r="C5" s="8">
        <f>((C2/2)^2 - (C4/2)^2) * PI() / 1000000</f>
        <v>5.8700462382784431E-2</v>
      </c>
      <c r="D5" s="8">
        <f>((D2/2)^2 - (D4/2)^2) * PI() / 1000000</f>
        <v>5.8700462382784431E-2</v>
      </c>
      <c r="E5" s="8">
        <f>((E2/2)^2 - (E4/2)^2) * PI() / 1000000</f>
        <v>5.8700462382784431E-2</v>
      </c>
    </row>
    <row r="6" spans="1:5" x14ac:dyDescent="0.4">
      <c r="A6" s="6" t="s">
        <v>158</v>
      </c>
      <c r="B6" s="6" t="s">
        <v>166</v>
      </c>
      <c r="C6" s="8">
        <f>((C2/2)^2 - (C4/2)^2) * PI() * C3 / 1000</f>
        <v>1291.4101724212576</v>
      </c>
      <c r="D6" s="8">
        <f>((D2/2)^2 - (D4/2)^2) * PI() * D3 / 1000</f>
        <v>1291.4101724212576</v>
      </c>
      <c r="E6" s="8">
        <f>((E2/2)^2 - (E4/2)^2) * PI() * E3 / 1000</f>
        <v>1291.4101724212576</v>
      </c>
    </row>
    <row r="7" spans="1:5" x14ac:dyDescent="0.4">
      <c r="A7" s="5" t="s">
        <v>159</v>
      </c>
      <c r="B7" s="6" t="s">
        <v>167</v>
      </c>
      <c r="C7" s="9">
        <v>165</v>
      </c>
      <c r="D7" s="9">
        <v>165</v>
      </c>
      <c r="E7" s="9">
        <v>165</v>
      </c>
    </row>
    <row r="8" spans="1:5" x14ac:dyDescent="0.4">
      <c r="A8" s="6" t="s">
        <v>160</v>
      </c>
      <c r="B8" s="6" t="s">
        <v>168</v>
      </c>
      <c r="C8" s="8">
        <f>((C2/2)^2 - (C7/2)^2) * PI() * C3 / 1000</f>
        <v>884.24052226101708</v>
      </c>
      <c r="D8" s="8">
        <f>((D2/2)^2 - (D7/2)^2) * PI() * D3 / 1000</f>
        <v>884.24052226101708</v>
      </c>
      <c r="E8" s="8">
        <f>((E2/2)^2 - (E7/2)^2) * PI() * E3 / 1000</f>
        <v>884.24052226101708</v>
      </c>
    </row>
    <row r="9" spans="1:5" x14ac:dyDescent="0.4">
      <c r="A9" s="6" t="s">
        <v>161</v>
      </c>
      <c r="B9" s="6" t="s">
        <v>169</v>
      </c>
      <c r="C9" s="8">
        <f>(C6+C8) * 容器壁条件!C8</f>
        <v>17252.910008830437</v>
      </c>
      <c r="D9" s="8">
        <f>(D6+D8) * 容器壁条件!D8</f>
        <v>17252.910008830437</v>
      </c>
      <c r="E9" s="8">
        <f>(E6+E8) * 容器壁条件!E8</f>
        <v>17252.910008830437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7614-6043-4EFC-B46D-6FB67C5AAE22}">
  <dimension ref="A1:E8"/>
  <sheetViews>
    <sheetView workbookViewId="0">
      <selection activeCell="G25" sqref="G25"/>
    </sheetView>
  </sheetViews>
  <sheetFormatPr defaultRowHeight="18.75" x14ac:dyDescent="0.4"/>
  <cols>
    <col min="1" max="1" width="25.75" bestFit="1" customWidth="1"/>
    <col min="2" max="2" width="29.75" bestFit="1" customWidth="1"/>
    <col min="3" max="3" width="11.625" customWidth="1"/>
    <col min="4" max="4" width="12.125" customWidth="1"/>
    <col min="5" max="5" width="13.125" customWidth="1"/>
  </cols>
  <sheetData>
    <row r="1" spans="1:5" x14ac:dyDescent="0.4">
      <c r="A1" s="13" t="s">
        <v>65</v>
      </c>
      <c r="B1" s="29" t="s">
        <v>83</v>
      </c>
      <c r="C1" s="18" t="s">
        <v>18</v>
      </c>
      <c r="D1" s="21" t="s">
        <v>19</v>
      </c>
      <c r="E1" s="21" t="s">
        <v>20</v>
      </c>
    </row>
    <row r="2" spans="1:5" x14ac:dyDescent="0.4">
      <c r="A2" s="5" t="s">
        <v>66</v>
      </c>
      <c r="B2" s="15" t="s">
        <v>172</v>
      </c>
      <c r="C2" s="9">
        <v>2</v>
      </c>
      <c r="D2" s="9">
        <v>2</v>
      </c>
      <c r="E2" s="9">
        <v>2</v>
      </c>
    </row>
    <row r="3" spans="1:5" x14ac:dyDescent="0.4">
      <c r="A3" s="5" t="s">
        <v>67</v>
      </c>
      <c r="B3" s="6" t="s">
        <v>88</v>
      </c>
      <c r="C3" s="7">
        <v>0.01</v>
      </c>
      <c r="D3" s="7">
        <v>0.01</v>
      </c>
      <c r="E3" s="7">
        <v>0.01</v>
      </c>
    </row>
    <row r="4" spans="1:5" x14ac:dyDescent="0.4">
      <c r="A4" s="6" t="s">
        <v>68</v>
      </c>
      <c r="B4" s="6" t="s">
        <v>173</v>
      </c>
      <c r="C4" s="25">
        <f>PI()*C3^2/4</f>
        <v>7.8539816339744827E-5</v>
      </c>
      <c r="D4" s="25">
        <f>PI()*D3^2/4</f>
        <v>7.8539816339744827E-5</v>
      </c>
      <c r="E4" s="25">
        <f>PI()*E3^2/4</f>
        <v>7.8539816339744827E-5</v>
      </c>
    </row>
    <row r="5" spans="1:5" x14ac:dyDescent="0.4">
      <c r="A5" s="6" t="s">
        <v>69</v>
      </c>
      <c r="B5" s="6" t="s">
        <v>91</v>
      </c>
      <c r="C5" s="25">
        <f>C4*C2+C8</f>
        <v>5.0157079632679492E-2</v>
      </c>
      <c r="D5" s="25">
        <f>D4*D2+D8</f>
        <v>5.0157079632679492E-2</v>
      </c>
      <c r="E5" s="22">
        <f>E4*E2+E8</f>
        <v>5.0157079632679492E-2</v>
      </c>
    </row>
    <row r="6" spans="1:5" x14ac:dyDescent="0.4">
      <c r="A6" s="5" t="s">
        <v>70</v>
      </c>
      <c r="B6" s="6" t="s">
        <v>174</v>
      </c>
      <c r="C6" s="9">
        <v>1</v>
      </c>
      <c r="D6" s="9">
        <v>1</v>
      </c>
      <c r="E6" s="9">
        <v>1</v>
      </c>
    </row>
    <row r="7" spans="1:5" x14ac:dyDescent="0.4">
      <c r="A7" s="34" t="s">
        <v>170</v>
      </c>
      <c r="B7" s="6" t="s">
        <v>175</v>
      </c>
      <c r="C7" s="11">
        <v>1E-3</v>
      </c>
      <c r="D7" s="11">
        <v>1E-3</v>
      </c>
      <c r="E7" s="11">
        <v>3.0000000000000001E-3</v>
      </c>
    </row>
    <row r="8" spans="1:5" x14ac:dyDescent="0.4">
      <c r="A8" s="34" t="s">
        <v>171</v>
      </c>
      <c r="B8" s="6" t="s">
        <v>176</v>
      </c>
      <c r="C8" s="11">
        <v>0.05</v>
      </c>
      <c r="D8" s="11">
        <v>0.05</v>
      </c>
      <c r="E8" s="11">
        <v>0.05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22FA-BBEC-47B3-B7E0-184A656A0294}">
  <dimension ref="A1:E9"/>
  <sheetViews>
    <sheetView workbookViewId="0">
      <selection activeCell="B14" sqref="B14"/>
    </sheetView>
  </sheetViews>
  <sheetFormatPr defaultRowHeight="18.75" x14ac:dyDescent="0.4"/>
  <cols>
    <col min="1" max="1" width="26.625" customWidth="1"/>
    <col min="2" max="2" width="20.25" customWidth="1"/>
    <col min="3" max="3" width="12.25" customWidth="1"/>
    <col min="4" max="4" width="11.625" customWidth="1"/>
    <col min="5" max="5" width="11.25" customWidth="1"/>
  </cols>
  <sheetData>
    <row r="1" spans="1:5" x14ac:dyDescent="0.4">
      <c r="A1" s="13" t="s">
        <v>71</v>
      </c>
      <c r="B1" s="29" t="s">
        <v>83</v>
      </c>
      <c r="C1" s="18" t="s">
        <v>18</v>
      </c>
      <c r="D1" s="21" t="s">
        <v>19</v>
      </c>
      <c r="E1" s="21" t="s">
        <v>20</v>
      </c>
    </row>
    <row r="2" spans="1:5" x14ac:dyDescent="0.4">
      <c r="A2" s="5" t="s">
        <v>72</v>
      </c>
      <c r="B2" s="15" t="s">
        <v>172</v>
      </c>
      <c r="C2" s="9">
        <v>2</v>
      </c>
      <c r="D2" s="9">
        <v>2</v>
      </c>
      <c r="E2" s="9">
        <v>2</v>
      </c>
    </row>
    <row r="3" spans="1:5" x14ac:dyDescent="0.4">
      <c r="A3" s="5" t="s">
        <v>73</v>
      </c>
      <c r="B3" s="6" t="s">
        <v>88</v>
      </c>
      <c r="C3" s="11">
        <v>2.5000000000000001E-2</v>
      </c>
      <c r="D3" s="11">
        <v>2.5000000000000001E-2</v>
      </c>
      <c r="E3" s="11">
        <v>2.5000000000000001E-2</v>
      </c>
    </row>
    <row r="4" spans="1:5" x14ac:dyDescent="0.4">
      <c r="A4" s="6" t="s">
        <v>74</v>
      </c>
      <c r="B4" s="6" t="s">
        <v>173</v>
      </c>
      <c r="C4" s="26">
        <f>PI()*C3^2/4</f>
        <v>4.9087385212340522E-4</v>
      </c>
      <c r="D4" s="26">
        <f>PI()*D3^2/4</f>
        <v>4.9087385212340522E-4</v>
      </c>
      <c r="E4" s="26">
        <f>PI()*E3^2/4</f>
        <v>4.9087385212340522E-4</v>
      </c>
    </row>
    <row r="5" spans="1:5" x14ac:dyDescent="0.4">
      <c r="A5" s="5" t="s">
        <v>75</v>
      </c>
      <c r="B5" s="6" t="s">
        <v>91</v>
      </c>
      <c r="C5" s="27">
        <v>5.0000000000000001E-3</v>
      </c>
      <c r="D5" s="27">
        <v>5.0000000000000001E-3</v>
      </c>
      <c r="E5" s="27">
        <v>5.0000000000000001E-3</v>
      </c>
    </row>
    <row r="6" spans="1:5" x14ac:dyDescent="0.4">
      <c r="A6" s="6" t="s">
        <v>76</v>
      </c>
      <c r="B6" s="6" t="s">
        <v>177</v>
      </c>
      <c r="C6" s="22">
        <f>C5+触媒充填層条件!C19</f>
        <v>1.0911470697185718E-2</v>
      </c>
      <c r="D6" s="8">
        <f>D5+触媒充填層条件!D19</f>
        <v>1.0911470697185718E-2</v>
      </c>
      <c r="E6" s="8">
        <f>E5+触媒充填層条件!E19</f>
        <v>1.0911470697185718E-2</v>
      </c>
    </row>
    <row r="7" spans="1:5" x14ac:dyDescent="0.4">
      <c r="A7" s="35" t="s">
        <v>190</v>
      </c>
      <c r="B7" s="36" t="s">
        <v>191</v>
      </c>
      <c r="C7" s="37">
        <v>1.67</v>
      </c>
      <c r="D7" s="38">
        <v>1.67</v>
      </c>
      <c r="E7" s="38">
        <v>1.67</v>
      </c>
    </row>
    <row r="8" spans="1:5" x14ac:dyDescent="0.4">
      <c r="A8" s="39" t="s">
        <v>198</v>
      </c>
      <c r="B8" s="39" t="s">
        <v>199</v>
      </c>
      <c r="C8" s="40">
        <v>0.1</v>
      </c>
      <c r="D8" s="40">
        <v>0.1</v>
      </c>
      <c r="E8" s="40">
        <v>0.1</v>
      </c>
    </row>
    <row r="9" spans="1:5" x14ac:dyDescent="0.4">
      <c r="A9" s="39" t="s">
        <v>200</v>
      </c>
      <c r="B9" s="39" t="s">
        <v>201</v>
      </c>
      <c r="C9" s="40">
        <v>5000</v>
      </c>
      <c r="D9" s="40">
        <v>5000</v>
      </c>
      <c r="E9" s="40">
        <v>5000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0CB0-B597-4DEC-8AAC-1E9EBB45F89A}">
  <dimension ref="A1:E4"/>
  <sheetViews>
    <sheetView workbookViewId="0">
      <selection activeCell="D7" sqref="D7"/>
    </sheetView>
  </sheetViews>
  <sheetFormatPr defaultRowHeight="18.75" x14ac:dyDescent="0.4"/>
  <cols>
    <col min="1" max="1" width="20.625" customWidth="1"/>
    <col min="2" max="2" width="21.625" customWidth="1"/>
  </cols>
  <sheetData>
    <row r="1" spans="1:5" x14ac:dyDescent="0.4">
      <c r="A1" s="13" t="s">
        <v>77</v>
      </c>
      <c r="B1" s="29" t="s">
        <v>83</v>
      </c>
      <c r="C1" s="18" t="s">
        <v>18</v>
      </c>
      <c r="D1" s="21" t="s">
        <v>19</v>
      </c>
      <c r="E1" s="21" t="s">
        <v>20</v>
      </c>
    </row>
    <row r="2" spans="1:5" x14ac:dyDescent="0.4">
      <c r="A2" s="5" t="s">
        <v>78</v>
      </c>
      <c r="B2" s="15" t="s">
        <v>178</v>
      </c>
      <c r="C2" s="7">
        <v>0.4</v>
      </c>
      <c r="D2" s="7">
        <v>0.4</v>
      </c>
      <c r="E2" s="7">
        <v>0.4</v>
      </c>
    </row>
    <row r="3" spans="1:5" x14ac:dyDescent="0.4">
      <c r="A3" s="5" t="s">
        <v>79</v>
      </c>
      <c r="B3" s="6" t="s">
        <v>80</v>
      </c>
      <c r="C3" s="9">
        <v>1</v>
      </c>
      <c r="D3" s="9">
        <v>1</v>
      </c>
      <c r="E3" s="9">
        <v>1</v>
      </c>
    </row>
    <row r="4" spans="1:5" x14ac:dyDescent="0.4">
      <c r="A4" s="5" t="s">
        <v>81</v>
      </c>
      <c r="B4" s="6" t="s">
        <v>179</v>
      </c>
      <c r="C4" s="9">
        <v>1</v>
      </c>
      <c r="D4" s="9">
        <v>1</v>
      </c>
      <c r="E4" s="9">
        <v>1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F9BF6809288764B967DAFE255E17EFE" ma:contentTypeVersion="10" ma:contentTypeDescription="新しいドキュメントを作成します。" ma:contentTypeScope="" ma:versionID="b261726c8bce847ce3a44c79ca54fa9d">
  <xsd:schema xmlns:xsd="http://www.w3.org/2001/XMLSchema" xmlns:xs="http://www.w3.org/2001/XMLSchema" xmlns:p="http://schemas.microsoft.com/office/2006/metadata/properties" xmlns:ns2="64b22170-f376-4092-ba6f-46ff91c6d492" xmlns:ns3="e7112f48-bca0-455a-90cc-a80be98fe11f" targetNamespace="http://schemas.microsoft.com/office/2006/metadata/properties" ma:root="true" ma:fieldsID="ab0fbf0116b8f401e239faaa4b4d25c7" ns2:_="" ns3:_="">
    <xsd:import namespace="64b22170-f376-4092-ba6f-46ff91c6d492"/>
    <xsd:import namespace="e7112f48-bca0-455a-90cc-a80be98fe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22170-f376-4092-ba6f-46ff91c6d4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51029a1-0f84-4a5a-a3ee-fbd7618890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12f48-bca0-455a-90cc-a80be98fe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4ff62da-4d83-4c91-a5cc-fdff94f4b183}" ma:internalName="TaxCatchAll" ma:showField="CatchAllData" ma:web="e7112f48-bca0-455a-90cc-a80be98fe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112f48-bca0-455a-90cc-a80be98fe11f" xsi:nil="true"/>
    <lcf76f155ced4ddcb4097134ff3c332f xmlns="64b22170-f376-4092-ba6f-46ff91c6d4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FC4F44-0175-4908-9E50-57BE2D6E0A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5D19BA-EDA3-4A58-8A7D-C8CB8926C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22170-f376-4092-ba6f-46ff91c6d492"/>
    <ds:schemaRef ds:uri="e7112f48-bca0-455a-90cc-a80be98fe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D267FD-A7B0-4578-A981-FF848F0697AA}">
  <ds:schemaRefs>
    <ds:schemaRef ds:uri="http://schemas.openxmlformats.org/package/2006/metadata/core-properties"/>
    <ds:schemaRef ds:uri="http://purl.org/dc/terms/"/>
    <ds:schemaRef ds:uri="http://purl.org/dc/dcmitype/"/>
    <ds:schemaRef ds:uri="64b22170-f376-4092-ba6f-46ff91c6d492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e7112f48-bca0-455a-90cc-a80be98fe11f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共通</vt:lpstr>
      <vt:lpstr>触媒充填層条件</vt:lpstr>
      <vt:lpstr>導入ガス条件</vt:lpstr>
      <vt:lpstr>容器壁条件</vt:lpstr>
      <vt:lpstr>蓋条件</vt:lpstr>
      <vt:lpstr>底条件</vt:lpstr>
      <vt:lpstr>均圧配管条件</vt:lpstr>
      <vt:lpstr>真空引き配管条件</vt:lpstr>
      <vt:lpstr>熱電対条件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Nagao Mitsuaki/長尾 光晋/JFE-ENG</cp:lastModifiedBy>
  <dcterms:created xsi:type="dcterms:W3CDTF">2025-04-20T22:46:40Z</dcterms:created>
  <dcterms:modified xsi:type="dcterms:W3CDTF">2025-10-21T04:13:36Z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0x010100BF9BF6809288764B967DAFE255E17EFE</vt:lpwstr>
  </property>
  <property fmtid="{D5CDD505-2E9C-101B-9397-08002B2CF9AE}" pid="3" name="MediaServiceImageTags">
    <vt:lpwstr/>
  </property>
</Properties>
</file>