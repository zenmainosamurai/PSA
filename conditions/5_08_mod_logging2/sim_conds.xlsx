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CE9CF860-9D6B-4BD7-8CE6-EFE1A3C2DC6C}" xr6:coauthVersionLast="47" xr6:coauthVersionMax="47" xr10:uidLastSave="{00000000-0000-0000-0000-000000000000}"/>
  <bookViews>
    <workbookView xWindow="3450" yWindow="1580" windowWidth="14400" windowHeight="8170" firstSheet="7" activeTab="7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E7" i="6"/>
  <c r="C7" i="6"/>
  <c r="D4" i="6"/>
  <c r="E4" i="6"/>
  <c r="C4" i="6"/>
  <c r="E4" i="1"/>
  <c r="E3" i="1"/>
  <c r="E2" i="1"/>
  <c r="D4" i="1"/>
  <c r="D3" i="1"/>
  <c r="D2" i="1"/>
  <c r="E6" i="8" l="1"/>
  <c r="D6" i="8"/>
  <c r="C6" i="8"/>
  <c r="E4" i="8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11" i="6" l="1"/>
  <c r="D21" i="6" s="1"/>
  <c r="E12" i="6"/>
  <c r="E18" i="6" s="1"/>
  <c r="E21" i="6"/>
  <c r="C12" i="6"/>
  <c r="C25" i="6" s="1"/>
  <c r="C26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D25" i="6" l="1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<sst xmlns="http://schemas.openxmlformats.org/spreadsheetml/2006/main" count="241" uniqueCount="193">
  <si>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</si>
  <si>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</si>
  <si>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</si>
  <si>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</si>
  <si>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</si>
  <si>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</si>
  <si>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</si>
  <si>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</si>
  <si>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</si>
  <si>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</si>
  <si>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</si>
  <si>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</si>
  <si>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</si>
  <si>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</si>
  <si>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</si>
  <si>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</si>
  <si>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</si>
  <si>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</si>
  <si>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</si>
  <si>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</si>
  <si>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</si>
  <si>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</si>
  <si>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</si>
  <si>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</si>
  <si>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</si>
  <si>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</si>
  <si>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</si>
  <si>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</si>
  <si>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</si>
  <si>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</si>
  <si>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</si>
  <si>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</si>
  <si>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</si>
  <si>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</si>
  <si>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</si>
  <si>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</si>
  <si>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</si>
  <si>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</si>
  <si>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</si>
  <si>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</si>
  <si>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</si>
  <si>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</si>
  <si>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</si>
  <si>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</si>
  <si>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</si>
  <si>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</si>
  <si>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</si>
  <si>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</si>
  <si>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</si>
  <si>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</si>
  <si>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</si>
  <si>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</si>
  <si>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</si>
  <si>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</si>
  <si>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</si>
  <si>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</si>
  <si>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</si>
  <si>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</si>
  <si>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</si>
  <si>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</si>
  <si>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</si>
  <si>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</si>
  <si>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</si>
  <si>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</si>
  <si>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</si>
  <si>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</si>
  <si>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</si>
  <si>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</si>
  <si>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</si>
  <si>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</si>
  <si>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</si>
  <si>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</si>
  <si>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</si>
  <si>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</si>
  <si>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</si>
  <si>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</si>
  <si>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</si>
  <si>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</si>
  <si>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</si>
  <si>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</si>
  <si>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</si>
  <si>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</si>
  <si>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</si>
  <si>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</si>
  <si>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</si>
  <si>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</si>
  <si>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</si>
  <si>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</si>
  <si>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</si>
  <si>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</si>
  <si>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</si>
  <si>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</si>
  <si>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</si>
  <si>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</si>
  <si>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</si>
  <si>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</si>
  <si>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</si>
  <si>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</si>
  <si>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</si>
  <si>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</si>
  <si>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</si>
  <si>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</si>
  <si>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</si>
  <si>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</si>
  <si>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</si>
  <si>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</si>
  <si>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</si>
  <si>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</si>
  <si>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</si>
  <si>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容器内初期圧力 [kPaA]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</si>
  <si>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</si>
  <si>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</si>
  <si>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</si>
  <si>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</si>
  <si>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</si>
  <si>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</si>
  <si>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</si>
  <si>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</si>
  <si>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</si>
  <si>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</si>
  <si>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</si>
  <si>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</si>
  <si>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</si>
  <si>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</si>
  <si>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</si>
  <si>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</si>
  <si>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</si>
  <si>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</si>
  <si>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</si>
  <si>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</si>
  <si>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</si>
  <si>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</si>
  <si>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</si>
  <si>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</si>
  <si>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</si>
  <si>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</si>
  <si>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</si>
  <si>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</si>
  <si>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</si>
  <si>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</si>
  <si>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</si>
  <si>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</si>
  <si>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</si>
  <si>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</si>
  <si>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</si>
  <si>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</si>
  <si>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</si>
  <si>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</si>
  <si>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</si>
  <si>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</si>
  <si>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</si>
  <si>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</si>
  <si>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</si>
  <si>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</si>
  <si>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</si>
  <si>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</si>
  <si>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</si>
  <si>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</si>
  <si>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</si>
  <si>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</si>
  <si>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</si>
  <si>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</si>
  <si>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</si>
  <si>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</si>
  <si>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</si>
  <si>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</si>
  <si>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</si>
  <si>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</si>
  <si>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</si>
  <si>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</si>
  <si>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</si>
  <si>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</si>
  <si>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</si>
  <si>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</si>
  <si>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</si>
  <si>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</si>
  <si>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</si>
  <si>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</si>
  <si>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</si>
  <si>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</si>
  <si>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</si>
  <si>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</si>
  <si>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</si>
  <si>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</si>
  <si>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</si>
  <si>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</si>
  <si>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</si>
  <si>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</si>
  <si>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</si>
  <si>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</si>
  <si>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</si>
  <si>
    <t>真空ポンプ排気速度[m3/min]</t>
    <rPh sb="0" eb="2">
      <t>シンクウ</t>
    </rPh>
    <rPh sb="5" eb="9">
      <t>ハイキソクド</t>
    </rPh>
    <phoneticPr fontId="2"/>
  </si>
  <si>
    <t>vacuum_pumping_speed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</si>
</sst>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4"/>
  <sheetViews>
    <sheetView workbookViewId="0">
      <selection activeCell="C9" sqref="C9"/>
    </sheetView>
  </sheetViews>
  <sheetFormatPr defaultRowHeight="18" x14ac:dyDescent="0.55000000000000004"/>
  <cols>
    <col min="1" max="1" width="26.33203125" customWidth="1"/>
    <col min="2" max="2" width="16.5" customWidth="1"/>
  </cols>
  <sheetData>
    <row r="1" spans="1:5" x14ac:dyDescent="0.5500000000000000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5500000000000000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5500000000000000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workbookViewId="0">
      <selection activeCell="A23" sqref="A23"/>
    </sheetView>
  </sheetViews>
  <sheetFormatPr defaultRowHeight="18" x14ac:dyDescent="0.55000000000000004"/>
  <cols>
    <col min="1" max="1" width="29.25" customWidth="1"/>
    <col min="2" max="2" width="31.25" bestFit="1" customWidth="1"/>
    <col min="3" max="3" width="15" customWidth="1"/>
  </cols>
  <sheetData>
    <row r="1" spans="1:5" x14ac:dyDescent="0.5500000000000000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5500000000000000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55000000000000004">
      <c r="A4" s="6" t="s">
        <v>6</v>
      </c>
      <c r="B4" s="6" t="s">
        <v>181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5500000000000000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5500000000000000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5500000000000000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5500000000000000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5500000000000000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5500000000000000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5500000000000000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5500000000000000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5500000000000000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5500000000000000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5500000000000000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55000000000000004">
      <c r="A16" s="5" t="s">
        <v>109</v>
      </c>
      <c r="B16" s="6" t="s">
        <v>101</v>
      </c>
      <c r="C16" s="9">
        <v>4</v>
      </c>
      <c r="D16" s="9">
        <v>4</v>
      </c>
      <c r="E16" s="9">
        <v>4</v>
      </c>
    </row>
    <row r="17" spans="1:5" x14ac:dyDescent="0.55000000000000004">
      <c r="A17" s="5" t="s">
        <v>15</v>
      </c>
      <c r="B17" s="6" t="s">
        <v>182</v>
      </c>
      <c r="C17" s="7">
        <v>3.5</v>
      </c>
      <c r="D17" s="7">
        <v>3.5</v>
      </c>
      <c r="E17" s="7">
        <v>3.5</v>
      </c>
    </row>
    <row r="18" spans="1:5" x14ac:dyDescent="0.55000000000000004">
      <c r="A18" s="5" t="s">
        <v>16</v>
      </c>
      <c r="B18" s="6" t="s">
        <v>183</v>
      </c>
      <c r="C18" s="7">
        <v>0.65</v>
      </c>
      <c r="D18" s="7">
        <v>0.65</v>
      </c>
      <c r="E18" s="7">
        <v>0.65</v>
      </c>
    </row>
    <row r="19" spans="1:5" x14ac:dyDescent="0.5500000000000000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55000000000000004">
      <c r="A20" s="5" t="s">
        <v>110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55000000000000004">
      <c r="A21" s="5" t="s">
        <v>111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55000000000000004">
      <c r="A22" s="5" t="s">
        <v>190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55000000000000004">
      <c r="A23" s="35" t="s">
        <v>184</v>
      </c>
      <c r="B23" s="36" t="s">
        <v>185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workbookViewId="0">
      <selection activeCell="B14" sqref="B14"/>
    </sheetView>
  </sheetViews>
  <sheetFormatPr defaultRowHeight="18" x14ac:dyDescent="0.55000000000000004"/>
  <cols>
    <col min="1" max="1" width="26.08203125" customWidth="1"/>
    <col min="2" max="2" width="16.83203125" customWidth="1"/>
    <col min="3" max="3" width="13" customWidth="1"/>
    <col min="4" max="5" width="12.08203125" customWidth="1"/>
  </cols>
  <sheetData>
    <row r="1" spans="1:5" x14ac:dyDescent="0.5500000000000000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39</v>
      </c>
      <c r="B2" s="15" t="s">
        <v>112</v>
      </c>
      <c r="C2" s="9">
        <v>44</v>
      </c>
      <c r="D2" s="9">
        <v>44</v>
      </c>
      <c r="E2" s="9">
        <v>44</v>
      </c>
    </row>
    <row r="3" spans="1:5" x14ac:dyDescent="0.55000000000000004">
      <c r="A3" s="5" t="s">
        <v>187</v>
      </c>
      <c r="B3" s="15" t="s">
        <v>188</v>
      </c>
      <c r="C3" s="11">
        <v>1.222</v>
      </c>
      <c r="D3" s="11">
        <v>1.222</v>
      </c>
      <c r="E3" s="11">
        <v>1.222</v>
      </c>
    </row>
    <row r="4" spans="1:5" x14ac:dyDescent="0.55000000000000004">
      <c r="A4" s="6" t="s">
        <v>40</v>
      </c>
      <c r="B4" s="6" t="s">
        <v>113</v>
      </c>
      <c r="C4" s="9">
        <f>C3*((C$10+273.15)/273.15)*(0.101325/C$9)*1000/60</f>
        <v>21.996427800658974</v>
      </c>
      <c r="D4" s="9">
        <f t="shared" ref="D4:E4" si="0">D3*((D$10+273.15)/273.15)*(0.101325/D$9)*1000/60</f>
        <v>21.996427800658974</v>
      </c>
      <c r="E4" s="9">
        <f t="shared" si="0"/>
        <v>21.996427800658974</v>
      </c>
    </row>
    <row r="5" spans="1:5" x14ac:dyDescent="0.55000000000000004">
      <c r="A5" s="5" t="s">
        <v>41</v>
      </c>
      <c r="B5" s="6" t="s">
        <v>114</v>
      </c>
      <c r="C5" s="9">
        <v>28</v>
      </c>
      <c r="D5" s="9">
        <v>28</v>
      </c>
      <c r="E5" s="9">
        <v>28</v>
      </c>
    </row>
    <row r="6" spans="1:5" x14ac:dyDescent="0.55000000000000004">
      <c r="A6" s="5" t="s">
        <v>186</v>
      </c>
      <c r="B6" s="6" t="s">
        <v>189</v>
      </c>
      <c r="C6" s="11">
        <v>1.5549999999999999</v>
      </c>
      <c r="D6" s="11">
        <v>1.5549999999999999</v>
      </c>
      <c r="E6" s="11">
        <v>1.5549999999999999</v>
      </c>
    </row>
    <row r="7" spans="1:5" x14ac:dyDescent="0.55000000000000004">
      <c r="A7" s="6" t="s">
        <v>42</v>
      </c>
      <c r="B7" s="6" t="s">
        <v>115</v>
      </c>
      <c r="C7" s="9">
        <f>C6*((C$10+273.15)/273.15)*(0.101325/C$9)*1000/60</f>
        <v>27.990544378088959</v>
      </c>
      <c r="D7" s="9">
        <f t="shared" ref="D7:E7" si="1">D6*((D$10+273.15)/273.15)*(0.101325/D$9)*1000/60</f>
        <v>27.990544378088959</v>
      </c>
      <c r="E7" s="9">
        <f t="shared" si="1"/>
        <v>27.990544378088959</v>
      </c>
    </row>
    <row r="8" spans="1:5" x14ac:dyDescent="0.55000000000000004">
      <c r="A8" s="6" t="s">
        <v>43</v>
      </c>
      <c r="B8" s="6" t="s">
        <v>116</v>
      </c>
      <c r="C8" s="10">
        <f>C4+C7</f>
        <v>49.986972178747934</v>
      </c>
      <c r="D8" s="10">
        <f>D4+D7</f>
        <v>49.986972178747934</v>
      </c>
      <c r="E8" s="10">
        <f>E4+E7</f>
        <v>49.986972178747934</v>
      </c>
    </row>
    <row r="9" spans="1:5" x14ac:dyDescent="0.55000000000000004">
      <c r="A9" s="5" t="s">
        <v>44</v>
      </c>
      <c r="B9" s="6" t="s">
        <v>117</v>
      </c>
      <c r="C9" s="7">
        <v>0.1</v>
      </c>
      <c r="D9" s="7">
        <v>0.1</v>
      </c>
      <c r="E9" s="7">
        <v>0.1</v>
      </c>
    </row>
    <row r="10" spans="1:5" x14ac:dyDescent="0.55000000000000004">
      <c r="A10" s="5" t="s">
        <v>45</v>
      </c>
      <c r="B10" s="6" t="s">
        <v>118</v>
      </c>
      <c r="C10" s="9">
        <v>18</v>
      </c>
      <c r="D10" s="9">
        <v>18</v>
      </c>
      <c r="E10" s="9">
        <v>18</v>
      </c>
    </row>
    <row r="11" spans="1:5" x14ac:dyDescent="0.55000000000000004">
      <c r="A11" s="6" t="s">
        <v>46</v>
      </c>
      <c r="B11" s="6" t="s">
        <v>119</v>
      </c>
      <c r="C11" s="8">
        <f>C4/C8</f>
        <v>0.44004321209938779</v>
      </c>
      <c r="D11" s="8">
        <f>D4/D8</f>
        <v>0.44004321209938779</v>
      </c>
      <c r="E11" s="8">
        <f>E4/E8</f>
        <v>0.44004321209938779</v>
      </c>
    </row>
    <row r="12" spans="1:5" x14ac:dyDescent="0.55000000000000004">
      <c r="A12" s="6" t="s">
        <v>47</v>
      </c>
      <c r="B12" s="6" t="s">
        <v>120</v>
      </c>
      <c r="C12" s="8">
        <f>C7/C8</f>
        <v>0.55995678790061221</v>
      </c>
      <c r="D12" s="8">
        <f>D7/D8</f>
        <v>0.55995678790061221</v>
      </c>
      <c r="E12" s="8">
        <f>E7/E8</f>
        <v>0.55995678790061221</v>
      </c>
    </row>
    <row r="13" spans="1:5" x14ac:dyDescent="0.55000000000000004">
      <c r="A13" s="5" t="s">
        <v>48</v>
      </c>
      <c r="B13" s="6" t="s">
        <v>121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55000000000000004">
      <c r="A14" s="5" t="s">
        <v>49</v>
      </c>
      <c r="B14" s="6" t="s">
        <v>122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55000000000000004">
      <c r="A15" s="6" t="s">
        <v>50</v>
      </c>
      <c r="B15" s="6" t="s">
        <v>123</v>
      </c>
      <c r="C15" s="8">
        <f>C13*C11+C14*C12</f>
        <v>1.4962074417547715</v>
      </c>
      <c r="D15" s="8">
        <f>D13*D11+D14*D12</f>
        <v>1.4962074417547715</v>
      </c>
      <c r="E15" s="8">
        <f>E13*E11+E14*E12</f>
        <v>1.4962074417547715</v>
      </c>
    </row>
    <row r="16" spans="1:5" x14ac:dyDescent="0.55000000000000004">
      <c r="A16" s="5" t="s">
        <v>51</v>
      </c>
      <c r="B16" s="6" t="s">
        <v>124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55000000000000004">
      <c r="A17" s="5" t="s">
        <v>52</v>
      </c>
      <c r="B17" s="6" t="s">
        <v>125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55000000000000004">
      <c r="A18" s="6" t="s">
        <v>53</v>
      </c>
      <c r="B18" s="6" t="s">
        <v>126</v>
      </c>
      <c r="C18" s="8">
        <f>C16*C11+C17*C12</f>
        <v>2.1259746450846238E-2</v>
      </c>
      <c r="D18" s="8">
        <f>D16*D11+D17*D12</f>
        <v>2.1259746450846238E-2</v>
      </c>
      <c r="E18" s="8">
        <f>E16*E11+E17*E12</f>
        <v>2.1259746450846238E-2</v>
      </c>
    </row>
    <row r="19" spans="1:5" x14ac:dyDescent="0.55000000000000004">
      <c r="A19" s="5" t="s">
        <v>54</v>
      </c>
      <c r="B19" s="6" t="s">
        <v>127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55000000000000004">
      <c r="A20" s="5" t="s">
        <v>55</v>
      </c>
      <c r="B20" s="6" t="s">
        <v>128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55000000000000004">
      <c r="A21" s="6" t="s">
        <v>56</v>
      </c>
      <c r="B21" s="6" t="s">
        <v>129</v>
      </c>
      <c r="C21" s="31">
        <f>C19*C11+C20*C12</f>
        <v>1.6223874684911774E-5</v>
      </c>
      <c r="D21" s="31">
        <f>D19*D11+D20*D12</f>
        <v>1.6223874684911774E-5</v>
      </c>
      <c r="E21" s="31">
        <f>E19*E11+E20*E12</f>
        <v>1.6223874684911774E-5</v>
      </c>
    </row>
    <row r="22" spans="1:5" x14ac:dyDescent="0.5500000000000000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55000000000000004">
      <c r="A23" s="5" t="s">
        <v>59</v>
      </c>
      <c r="B23" s="6" t="s">
        <v>130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55000000000000004">
      <c r="A24" s="5" t="s">
        <v>60</v>
      </c>
      <c r="B24" s="6" t="s">
        <v>131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55000000000000004">
      <c r="A25" s="6" t="s">
        <v>61</v>
      </c>
      <c r="B25" s="6" t="s">
        <v>132</v>
      </c>
      <c r="C25" s="8">
        <f>C23*C11+C24*C12</f>
        <v>0.95463152756931946</v>
      </c>
      <c r="D25" s="8">
        <f>D23*D11+D24*D12</f>
        <v>0.95463152756931946</v>
      </c>
      <c r="E25" s="8">
        <f>E23*E11+E24*E12</f>
        <v>0.95463152756931946</v>
      </c>
    </row>
    <row r="26" spans="1:5" x14ac:dyDescent="0.55000000000000004">
      <c r="A26" s="6" t="s">
        <v>62</v>
      </c>
      <c r="B26" s="6" t="s">
        <v>133</v>
      </c>
      <c r="C26" s="8">
        <f>C25*(C4/22.4*C2*60/1000 + C7/22.4*C5*60/1000)</f>
        <v>4.4788704766777263</v>
      </c>
      <c r="D26" s="8">
        <f>D25*(D4/22.4*D2*60/1000 + D7/22.4*D5*60/1000)</f>
        <v>4.4788704766777263</v>
      </c>
      <c r="E26" s="8">
        <f>E25*(E4/22.4*E2*60/1000 + E7/22.4*E5*60/1000)</f>
        <v>4.4788704766777263</v>
      </c>
    </row>
    <row r="27" spans="1:5" x14ac:dyDescent="0.55000000000000004">
      <c r="A27" s="5" t="s">
        <v>63</v>
      </c>
      <c r="B27" s="6" t="s">
        <v>134</v>
      </c>
      <c r="C27" s="9">
        <v>700</v>
      </c>
      <c r="D27" s="9">
        <v>700</v>
      </c>
      <c r="E27" s="9">
        <v>700</v>
      </c>
    </row>
    <row r="28" spans="1:5" x14ac:dyDescent="0.55000000000000004">
      <c r="A28" s="5" t="s">
        <v>64</v>
      </c>
      <c r="B28" s="6" t="s">
        <v>135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" x14ac:dyDescent="0.55000000000000004"/>
  <cols>
    <col min="1" max="1" width="27.25" customWidth="1"/>
    <col min="2" max="2" width="17" customWidth="1"/>
    <col min="3" max="3" width="17.33203125" customWidth="1"/>
    <col min="4" max="4" width="15" customWidth="1"/>
    <col min="5" max="5" width="17" customWidth="1"/>
  </cols>
  <sheetData>
    <row r="1" spans="1:5" x14ac:dyDescent="0.5500000000000000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5500000000000000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5500000000000000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55000000000000004">
      <c r="A5" s="6" t="s">
        <v>25</v>
      </c>
      <c r="B5" s="6" t="s">
        <v>136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55000000000000004">
      <c r="A6" s="6" t="s">
        <v>26</v>
      </c>
      <c r="B6" s="6" t="s">
        <v>137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55000000000000004">
      <c r="A7" s="6" t="s">
        <v>27</v>
      </c>
      <c r="B7" s="6" t="s">
        <v>138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55000000000000004">
      <c r="A8" s="5" t="s">
        <v>28</v>
      </c>
      <c r="B8" s="6" t="s">
        <v>139</v>
      </c>
      <c r="C8" s="7">
        <v>7.93</v>
      </c>
      <c r="D8" s="7">
        <v>7.93</v>
      </c>
      <c r="E8" s="7">
        <v>7.93</v>
      </c>
    </row>
    <row r="9" spans="1:5" x14ac:dyDescent="0.55000000000000004">
      <c r="A9" s="6" t="s">
        <v>29</v>
      </c>
      <c r="B9" s="6" t="s">
        <v>140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55000000000000004">
      <c r="A10" s="5" t="s">
        <v>30</v>
      </c>
      <c r="B10" s="6" t="s">
        <v>141</v>
      </c>
      <c r="C10" s="7">
        <v>0.59</v>
      </c>
      <c r="D10" s="7">
        <v>0.59</v>
      </c>
      <c r="E10" s="7">
        <v>0.59</v>
      </c>
    </row>
    <row r="11" spans="1:5" x14ac:dyDescent="0.55000000000000004">
      <c r="A11" s="5" t="s">
        <v>31</v>
      </c>
      <c r="B11" s="6" t="s">
        <v>142</v>
      </c>
      <c r="C11" s="7">
        <v>16.7</v>
      </c>
      <c r="D11" s="7">
        <v>16.7</v>
      </c>
      <c r="E11" s="7">
        <v>16.7</v>
      </c>
    </row>
    <row r="12" spans="1:5" x14ac:dyDescent="0.55000000000000004">
      <c r="A12" s="6" t="s">
        <v>32</v>
      </c>
      <c r="B12" s="6" t="s">
        <v>143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55000000000000004">
      <c r="A13" s="5" t="s">
        <v>33</v>
      </c>
      <c r="B13" s="6" t="s">
        <v>144</v>
      </c>
      <c r="C13" s="9">
        <v>200</v>
      </c>
      <c r="D13" s="9">
        <v>200</v>
      </c>
      <c r="E13" s="9">
        <v>200</v>
      </c>
    </row>
    <row r="14" spans="1:5" x14ac:dyDescent="0.55000000000000004">
      <c r="A14" s="5" t="s">
        <v>34</v>
      </c>
      <c r="B14" s="6" t="s">
        <v>145</v>
      </c>
      <c r="C14" s="9">
        <v>18</v>
      </c>
      <c r="D14" s="9">
        <v>16</v>
      </c>
      <c r="E14" s="9">
        <v>15</v>
      </c>
    </row>
    <row r="15" spans="1:5" x14ac:dyDescent="0.55000000000000004">
      <c r="A15" s="5" t="s">
        <v>35</v>
      </c>
      <c r="B15" s="6" t="s">
        <v>146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" x14ac:dyDescent="0.55000000000000004"/>
  <cols>
    <col min="1" max="1" width="27.25" bestFit="1" customWidth="1"/>
    <col min="2" max="2" width="15.33203125" customWidth="1"/>
    <col min="3" max="3" width="13.83203125" customWidth="1"/>
    <col min="4" max="4" width="11.25" customWidth="1"/>
    <col min="5" max="5" width="12.33203125" customWidth="1"/>
  </cols>
  <sheetData>
    <row r="1" spans="1:5" x14ac:dyDescent="0.5500000000000000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147</v>
      </c>
      <c r="B2" s="15" t="s">
        <v>163</v>
      </c>
      <c r="C2" s="23">
        <v>280</v>
      </c>
      <c r="D2" s="23">
        <v>280</v>
      </c>
      <c r="E2" s="23">
        <v>280</v>
      </c>
    </row>
    <row r="3" spans="1:5" x14ac:dyDescent="0.55000000000000004">
      <c r="A3" s="5" t="s">
        <v>148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149</v>
      </c>
      <c r="B4" s="6" t="s">
        <v>165</v>
      </c>
      <c r="C4" s="9">
        <v>34</v>
      </c>
      <c r="D4" s="9">
        <v>34</v>
      </c>
      <c r="E4" s="9">
        <v>34</v>
      </c>
    </row>
    <row r="5" spans="1:5" x14ac:dyDescent="0.55000000000000004">
      <c r="A5" s="6" t="s">
        <v>150</v>
      </c>
      <c r="B5" s="6" t="s">
        <v>166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55000000000000004">
      <c r="A6" s="6" t="s">
        <v>151</v>
      </c>
      <c r="B6" s="6" t="s">
        <v>167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55000000000000004">
      <c r="A7" s="5" t="s">
        <v>152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153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154</v>
      </c>
      <c r="B9" s="6" t="s">
        <v>170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58203125" defaultRowHeight="18" x14ac:dyDescent="0.5500000000000000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08203125" style="24" customWidth="1"/>
    <col min="6" max="16384" width="8.58203125" style="24"/>
  </cols>
  <sheetData>
    <row r="1" spans="1:5" x14ac:dyDescent="0.5500000000000000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155</v>
      </c>
      <c r="B2" s="15" t="s">
        <v>163</v>
      </c>
      <c r="C2" s="9">
        <v>280</v>
      </c>
      <c r="D2" s="9">
        <v>280</v>
      </c>
      <c r="E2" s="9">
        <v>280</v>
      </c>
    </row>
    <row r="3" spans="1:5" x14ac:dyDescent="0.55000000000000004">
      <c r="A3" s="5" t="s">
        <v>156</v>
      </c>
      <c r="B3" s="6" t="s">
        <v>164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157</v>
      </c>
      <c r="B4" s="6" t="s">
        <v>165</v>
      </c>
      <c r="C4" s="7">
        <v>60.5</v>
      </c>
      <c r="D4" s="7">
        <v>60.5</v>
      </c>
      <c r="E4" s="7">
        <v>60.5</v>
      </c>
    </row>
    <row r="5" spans="1:5" x14ac:dyDescent="0.55000000000000004">
      <c r="A5" s="6" t="s">
        <v>158</v>
      </c>
      <c r="B5" s="6" t="s">
        <v>166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55000000000000004">
      <c r="A6" s="6" t="s">
        <v>159</v>
      </c>
      <c r="B6" s="6" t="s">
        <v>167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55000000000000004">
      <c r="A7" s="5" t="s">
        <v>160</v>
      </c>
      <c r="B7" s="6" t="s">
        <v>168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161</v>
      </c>
      <c r="B8" s="6" t="s">
        <v>169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162</v>
      </c>
      <c r="B9" s="6" t="s">
        <v>170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" x14ac:dyDescent="0.55000000000000004"/>
  <cols>
    <col min="1" max="1" width="25.75" bestFit="1" customWidth="1"/>
    <col min="2" max="2" width="29.83203125" bestFit="1" customWidth="1"/>
    <col min="3" max="3" width="11.58203125" customWidth="1"/>
    <col min="4" max="4" width="12.08203125" customWidth="1"/>
    <col min="5" max="5" width="13.08203125" customWidth="1"/>
  </cols>
  <sheetData>
    <row r="1" spans="1:5" x14ac:dyDescent="0.5500000000000000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66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55000000000000004">
      <c r="A4" s="6" t="s">
        <v>68</v>
      </c>
      <c r="B4" s="6" t="s">
        <v>174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5500000000000000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55000000000000004">
      <c r="A6" s="5" t="s">
        <v>70</v>
      </c>
      <c r="B6" s="6" t="s">
        <v>175</v>
      </c>
      <c r="C6" s="9">
        <v>1</v>
      </c>
      <c r="D6" s="9">
        <v>1</v>
      </c>
      <c r="E6" s="9">
        <v>1</v>
      </c>
    </row>
    <row r="7" spans="1:5" x14ac:dyDescent="0.55000000000000004">
      <c r="A7" s="34" t="s">
        <v>171</v>
      </c>
      <c r="B7" s="6" t="s">
        <v>176</v>
      </c>
      <c r="C7" s="11">
        <v>1E-3</v>
      </c>
      <c r="D7" s="11">
        <v>1E-3</v>
      </c>
      <c r="E7" s="11">
        <v>3.0000000000000001E-3</v>
      </c>
    </row>
    <row r="8" spans="1:5" x14ac:dyDescent="0.55000000000000004">
      <c r="A8" s="34" t="s">
        <v>172</v>
      </c>
      <c r="B8" s="6" t="s">
        <v>177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7"/>
  <sheetViews>
    <sheetView tabSelected="1" workbookViewId="0">
      <selection activeCell="E9" sqref="E9"/>
    </sheetView>
  </sheetViews>
  <sheetFormatPr defaultRowHeight="18" x14ac:dyDescent="0.55000000000000004"/>
  <cols>
    <col min="1" max="1" width="26.58203125" customWidth="1"/>
    <col min="2" max="2" width="20.33203125" customWidth="1"/>
    <col min="3" max="3" width="12.25" customWidth="1"/>
    <col min="4" max="4" width="11.58203125" customWidth="1"/>
    <col min="5" max="5" width="11.33203125" customWidth="1"/>
  </cols>
  <sheetData>
    <row r="1" spans="1:5" x14ac:dyDescent="0.5500000000000000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72</v>
      </c>
      <c r="B2" s="15" t="s">
        <v>173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55000000000000004">
      <c r="A4" s="6" t="s">
        <v>74</v>
      </c>
      <c r="B4" s="6" t="s">
        <v>174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5500000000000000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55000000000000004">
      <c r="A6" s="6" t="s">
        <v>76</v>
      </c>
      <c r="B6" s="6" t="s">
        <v>178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  <row r="7" spans="1:5" x14ac:dyDescent="0.55000000000000004">
      <c r="A7" s="5" t="s">
        <v>191</v>
      </c>
      <c r="B7" s="6" t="s">
        <v>192</v>
      </c>
      <c r="C7" s="7">
        <v>1.67</v>
      </c>
      <c r="D7" s="7">
        <v>1.67</v>
      </c>
      <c r="E7" s="7">
        <v>1.67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" x14ac:dyDescent="0.55000000000000004"/>
  <cols>
    <col min="1" max="1" width="20.58203125" customWidth="1"/>
    <col min="2" max="2" width="21.58203125" customWidth="1"/>
  </cols>
  <sheetData>
    <row r="1" spans="1:5" x14ac:dyDescent="0.5500000000000000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78</v>
      </c>
      <c r="B2" s="15" t="s">
        <v>179</v>
      </c>
      <c r="C2" s="7">
        <v>0.4</v>
      </c>
      <c r="D2" s="7">
        <v>0.4</v>
      </c>
      <c r="E2" s="7">
        <v>0.4</v>
      </c>
    </row>
    <row r="3" spans="1:5" x14ac:dyDescent="0.5500000000000000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55000000000000004">
      <c r="A4" s="5" t="s">
        <v>81</v>
      </c>
      <c r="B4" s="6" t="s">
        <v>180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2025-07-12T06:55:44Z</dcterms:modified>
</cp:coreProperties>
</file>