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E4658A03-20BA-462E-86EB-47E69C2E74C8}" xr6:coauthVersionLast="47" xr6:coauthVersionMax="47" xr10:uidLastSave="{00000000-0000-0000-0000-000000000000}"/>
  <bookViews>
    <workbookView xWindow="28680" yWindow="-120" windowWidth="29040" windowHeight="15720" activeTab="1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3" i="1"/>
  <c r="E2" i="1"/>
  <c r="D4" i="1"/>
  <c r="D3" i="1"/>
  <c r="D2" i="1"/>
  <c r="E6" i="8" l="1"/>
  <c r="D6" i="8"/>
  <c r="C6" i="8"/>
  <c r="E4" i="8"/>
  <c r="D4" i="8"/>
  <c r="C4" i="8"/>
  <c r="E4" i="7"/>
  <c r="E5" i="7" s="1"/>
  <c r="D4" i="7"/>
  <c r="D5" i="7" s="1"/>
  <c r="C4" i="7"/>
  <c r="C5" i="7" s="1"/>
  <c r="E10" i="6"/>
  <c r="E6" i="6"/>
  <c r="E9" i="6" s="1"/>
  <c r="D10" i="6"/>
  <c r="D9" i="6"/>
  <c r="D19" i="6" s="1"/>
  <c r="D6" i="6"/>
  <c r="C6" i="6"/>
  <c r="C9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E19" i="6" l="1"/>
  <c r="E16" i="6"/>
  <c r="E13" i="6"/>
  <c r="E23" i="6"/>
  <c r="E24" i="6" s="1"/>
  <c r="D23" i="6"/>
  <c r="D24" i="6" s="1"/>
  <c r="D13" i="6"/>
  <c r="D16" i="6"/>
  <c r="C10" i="6"/>
  <c r="C23" i="6" s="1"/>
  <c r="C24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C16" i="6" l="1"/>
  <c r="C19" i="6"/>
  <c r="C13" i="6"/>
</calcChain>
</file>

<file path=xl/sharedStrings.xml><?xml version="1.0" encoding="utf-8"?>
<sst xmlns="http://schemas.openxmlformats.org/spreadsheetml/2006/main" count="233" uniqueCount="185">
  <si>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</si>
  <si>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</si>
  <si>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</si>
  <si>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</si>
  <si>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</si>
  <si>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</si>
  <si>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</si>
  <si>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</si>
  <si>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</si>
  <si>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</si>
  <si>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</si>
  <si>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</si>
  <si>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</si>
  <si>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</si>
  <si>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</si>
  <si>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</si>
  <si>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</si>
  <si>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</si>
  <si>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</si>
  <si>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</si>
  <si>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</si>
  <si>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</si>
  <si>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</si>
  <si>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</si>
  <si>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</si>
  <si>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</si>
  <si>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</si>
  <si>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</si>
  <si>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</si>
  <si>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</si>
  <si>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</si>
  <si>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</si>
  <si>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</si>
  <si>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</si>
  <si>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</si>
  <si>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</si>
  <si>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</si>
  <si>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</si>
  <si>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</si>
  <si>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</si>
  <si>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</si>
  <si>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</si>
  <si>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</si>
  <si>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</si>
  <si>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</si>
  <si>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</si>
  <si>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</si>
  <si>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</si>
  <si>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</si>
  <si>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</si>
  <si>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</si>
  <si>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</si>
  <si>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</si>
  <si>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</si>
  <si>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</si>
  <si>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</si>
  <si>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</si>
  <si>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</si>
  <si>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</si>
  <si>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</si>
  <si>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</si>
  <si>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</si>
  <si>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</si>
  <si>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</si>
  <si>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</si>
  <si>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</si>
  <si>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</si>
  <si>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</si>
  <si>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</si>
  <si>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</si>
  <si>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</si>
  <si>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</si>
  <si>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</si>
  <si>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</si>
  <si>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</si>
  <si>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</si>
  <si>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</si>
  <si>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</si>
  <si>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</si>
  <si>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</si>
  <si>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</si>
  <si>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</si>
  <si>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</si>
  <si>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</si>
  <si>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</si>
  <si>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</si>
  <si>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</si>
  <si>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</si>
  <si>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</si>
  <si>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</si>
  <si>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</si>
  <si>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</si>
  <si>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</si>
  <si>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</si>
  <si>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</si>
  <si>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</si>
  <si>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</si>
  <si>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</si>
  <si>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</si>
  <si>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</si>
  <si>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</si>
  <si>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</si>
  <si>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</si>
  <si>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</si>
  <si>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</si>
  <si>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</si>
  <si>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</si>
  <si>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</si>
  <si>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</si>
  <si>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容器内初期圧力 [kPaA]</t>
    <phoneticPr fontId="2"/>
  </si>
  <si>
    <t>容器上流配管体積[m3]</t>
    <phoneticPr fontId="2"/>
  </si>
  <si>
    <t>容器内部空間体積[m3]</t>
  </si>
  <si>
    <t>充填層初期吸着量[cm3/g-abs]</t>
    <rPh sb="0" eb="3">
      <t>ジュウテンソウ</t>
    </rPh>
    <rPh sb="3" eb="8">
      <t>ショキキュウチャクリョウ</t>
    </rPh>
    <phoneticPr fontId="2"/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</si>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</sst>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4"/>
  <sheetViews>
    <sheetView workbookViewId="0">
      <selection activeCell="C9" sqref="C9"/>
    </sheetView>
  </sheetViews>
  <sheetFormatPr defaultRowHeight="18.75" x14ac:dyDescent="0.4"/>
  <cols>
    <col min="1" max="1" width="26.375" customWidth="1"/>
    <col min="2" max="2" width="16.5" customWidth="1"/>
  </cols>
  <sheetData>
    <row r="1" spans="1:5" x14ac:dyDescent="0.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2"/>
  <sheetViews>
    <sheetView tabSelected="1" workbookViewId="0">
      <selection activeCell="B24" sqref="B24"/>
    </sheetView>
  </sheetViews>
  <sheetFormatPr defaultRowHeight="18.75" x14ac:dyDescent="0.4"/>
  <cols>
    <col min="1" max="1" width="29.25" customWidth="1"/>
    <col min="2" max="2" width="31.25" bestFit="1" customWidth="1"/>
    <col min="3" max="3" width="15" customWidth="1"/>
  </cols>
  <sheetData>
    <row r="1" spans="1:5" x14ac:dyDescent="0.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4">
      <c r="A4" s="6" t="s">
        <v>6</v>
      </c>
      <c r="B4" s="6" t="s">
        <v>182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4">
      <c r="A16" s="5" t="s">
        <v>109</v>
      </c>
      <c r="B16" s="6" t="s">
        <v>101</v>
      </c>
      <c r="C16" s="9">
        <v>4</v>
      </c>
      <c r="D16" s="9">
        <v>4</v>
      </c>
      <c r="E16" s="9">
        <v>4</v>
      </c>
    </row>
    <row r="17" spans="1:5" x14ac:dyDescent="0.4">
      <c r="A17" s="5" t="s">
        <v>15</v>
      </c>
      <c r="B17" s="6" t="s">
        <v>183</v>
      </c>
      <c r="C17" s="7">
        <v>3.5</v>
      </c>
      <c r="D17" s="7">
        <v>3.5</v>
      </c>
      <c r="E17" s="7">
        <v>3.5</v>
      </c>
    </row>
    <row r="18" spans="1:5" x14ac:dyDescent="0.4">
      <c r="A18" s="5" t="s">
        <v>16</v>
      </c>
      <c r="B18" s="6" t="s">
        <v>184</v>
      </c>
      <c r="C18" s="7">
        <v>0.65</v>
      </c>
      <c r="D18" s="7">
        <v>0.65</v>
      </c>
      <c r="E18" s="7">
        <v>0.65</v>
      </c>
    </row>
    <row r="19" spans="1:5" x14ac:dyDescent="0.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4">
      <c r="A20" s="5" t="s">
        <v>110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4">
      <c r="A21" s="5" t="s">
        <v>111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4">
      <c r="A22" s="5" t="s">
        <v>112</v>
      </c>
      <c r="B22" s="6" t="s">
        <v>105</v>
      </c>
      <c r="C22" s="9">
        <v>38</v>
      </c>
      <c r="D22" s="9">
        <v>38</v>
      </c>
      <c r="E22" s="9">
        <v>30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6"/>
  <sheetViews>
    <sheetView workbookViewId="0">
      <selection activeCell="D7" sqref="D7"/>
    </sheetView>
  </sheetViews>
  <sheetFormatPr defaultRowHeight="18.75" x14ac:dyDescent="0.4"/>
  <cols>
    <col min="1" max="1" width="26.125" customWidth="1"/>
    <col min="2" max="2" width="16.875" customWidth="1"/>
    <col min="3" max="3" width="13" customWidth="1"/>
    <col min="4" max="5" width="12.125" customWidth="1"/>
  </cols>
  <sheetData>
    <row r="1" spans="1:5" x14ac:dyDescent="0.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39</v>
      </c>
      <c r="B2" s="15" t="s">
        <v>113</v>
      </c>
      <c r="C2" s="9">
        <v>44</v>
      </c>
      <c r="D2" s="9">
        <v>44</v>
      </c>
      <c r="E2" s="9">
        <v>44</v>
      </c>
    </row>
    <row r="3" spans="1:5" x14ac:dyDescent="0.4">
      <c r="A3" s="5" t="s">
        <v>40</v>
      </c>
      <c r="B3" s="6" t="s">
        <v>114</v>
      </c>
      <c r="C3" s="9">
        <v>22</v>
      </c>
      <c r="D3" s="9">
        <v>22</v>
      </c>
      <c r="E3" s="9">
        <v>22</v>
      </c>
    </row>
    <row r="4" spans="1:5" x14ac:dyDescent="0.4">
      <c r="A4" s="5" t="s">
        <v>41</v>
      </c>
      <c r="B4" s="6" t="s">
        <v>115</v>
      </c>
      <c r="C4" s="9">
        <v>28</v>
      </c>
      <c r="D4" s="9">
        <v>28</v>
      </c>
      <c r="E4" s="9">
        <v>28</v>
      </c>
    </row>
    <row r="5" spans="1:5" x14ac:dyDescent="0.4">
      <c r="A5" s="5" t="s">
        <v>42</v>
      </c>
      <c r="B5" s="6" t="s">
        <v>116</v>
      </c>
      <c r="C5" s="9">
        <v>28</v>
      </c>
      <c r="D5" s="9">
        <v>28</v>
      </c>
      <c r="E5" s="9">
        <v>28</v>
      </c>
    </row>
    <row r="6" spans="1:5" x14ac:dyDescent="0.4">
      <c r="A6" s="6" t="s">
        <v>43</v>
      </c>
      <c r="B6" s="6" t="s">
        <v>117</v>
      </c>
      <c r="C6" s="10">
        <f>C3+C5</f>
        <v>50</v>
      </c>
      <c r="D6" s="10">
        <f>D3+D5</f>
        <v>50</v>
      </c>
      <c r="E6" s="10">
        <f>E3+E5</f>
        <v>50</v>
      </c>
    </row>
    <row r="7" spans="1:5" x14ac:dyDescent="0.4">
      <c r="A7" s="5" t="s">
        <v>44</v>
      </c>
      <c r="B7" s="6" t="s">
        <v>118</v>
      </c>
      <c r="C7" s="7">
        <v>0.1</v>
      </c>
      <c r="D7" s="7">
        <v>0.1</v>
      </c>
      <c r="E7" s="7">
        <v>0.1</v>
      </c>
    </row>
    <row r="8" spans="1:5" x14ac:dyDescent="0.4">
      <c r="A8" s="5" t="s">
        <v>45</v>
      </c>
      <c r="B8" s="6" t="s">
        <v>119</v>
      </c>
      <c r="C8" s="9">
        <v>18</v>
      </c>
      <c r="D8" s="9">
        <v>18</v>
      </c>
      <c r="E8" s="9">
        <v>18</v>
      </c>
    </row>
    <row r="9" spans="1:5" x14ac:dyDescent="0.4">
      <c r="A9" s="6" t="s">
        <v>46</v>
      </c>
      <c r="B9" s="6" t="s">
        <v>120</v>
      </c>
      <c r="C9" s="8">
        <f>C3/C6</f>
        <v>0.44</v>
      </c>
      <c r="D9" s="8">
        <f>D3/D6</f>
        <v>0.44</v>
      </c>
      <c r="E9" s="8">
        <f>E3/E6</f>
        <v>0.44</v>
      </c>
    </row>
    <row r="10" spans="1:5" x14ac:dyDescent="0.4">
      <c r="A10" s="6" t="s">
        <v>47</v>
      </c>
      <c r="B10" s="6" t="s">
        <v>121</v>
      </c>
      <c r="C10" s="8">
        <f>C5/C6</f>
        <v>0.56000000000000005</v>
      </c>
      <c r="D10" s="8">
        <f>D5/D6</f>
        <v>0.56000000000000005</v>
      </c>
      <c r="E10" s="8">
        <f>E5/E6</f>
        <v>0.56000000000000005</v>
      </c>
    </row>
    <row r="11" spans="1:5" x14ac:dyDescent="0.4">
      <c r="A11" s="5" t="s">
        <v>48</v>
      </c>
      <c r="B11" s="6" t="s">
        <v>122</v>
      </c>
      <c r="C11" s="7">
        <v>1.8829980740000001</v>
      </c>
      <c r="D11" s="7">
        <v>1.8829980740000001</v>
      </c>
      <c r="E11" s="7">
        <v>1.8829980740000001</v>
      </c>
    </row>
    <row r="12" spans="1:5" x14ac:dyDescent="0.4">
      <c r="A12" s="5" t="s">
        <v>49</v>
      </c>
      <c r="B12" s="6" t="s">
        <v>123</v>
      </c>
      <c r="C12" s="7">
        <v>1.1922472150000001</v>
      </c>
      <c r="D12" s="7">
        <v>1.1922472150000001</v>
      </c>
      <c r="E12" s="7">
        <v>1.1922472150000001</v>
      </c>
    </row>
    <row r="13" spans="1:5" x14ac:dyDescent="0.4">
      <c r="A13" s="6" t="s">
        <v>50</v>
      </c>
      <c r="B13" s="6" t="s">
        <v>124</v>
      </c>
      <c r="C13" s="8">
        <f>C11*C9+C12*C10</f>
        <v>1.4961775929600001</v>
      </c>
      <c r="D13" s="8">
        <f>D11*D9+D12*D10</f>
        <v>1.4961775929600001</v>
      </c>
      <c r="E13" s="8">
        <f>E11*E9+E12*E10</f>
        <v>1.4961775929600001</v>
      </c>
    </row>
    <row r="14" spans="1:5" x14ac:dyDescent="0.4">
      <c r="A14" s="5" t="s">
        <v>51</v>
      </c>
      <c r="B14" s="6" t="s">
        <v>125</v>
      </c>
      <c r="C14" s="7">
        <v>1.6083291999999999E-2</v>
      </c>
      <c r="D14" s="7">
        <v>1.6083291999999999E-2</v>
      </c>
      <c r="E14" s="7">
        <v>1.6083291999999999E-2</v>
      </c>
    </row>
    <row r="15" spans="1:5" x14ac:dyDescent="0.4">
      <c r="A15" s="5" t="s">
        <v>52</v>
      </c>
      <c r="B15" s="6" t="s">
        <v>126</v>
      </c>
      <c r="C15" s="7">
        <v>2.5327674000000001E-2</v>
      </c>
      <c r="D15" s="7">
        <v>2.5327674000000001E-2</v>
      </c>
      <c r="E15" s="7">
        <v>2.5327674000000001E-2</v>
      </c>
    </row>
    <row r="16" spans="1:5" x14ac:dyDescent="0.4">
      <c r="A16" s="6" t="s">
        <v>53</v>
      </c>
      <c r="B16" s="6" t="s">
        <v>127</v>
      </c>
      <c r="C16" s="8">
        <f>C14*C9+C15*C10</f>
        <v>2.1260145920000001E-2</v>
      </c>
      <c r="D16" s="8">
        <f>D14*D9+D15*D10</f>
        <v>2.1260145920000001E-2</v>
      </c>
      <c r="E16" s="8">
        <f>E14*E9+E15*E10</f>
        <v>2.1260145920000001E-2</v>
      </c>
    </row>
    <row r="17" spans="1:5" x14ac:dyDescent="0.4">
      <c r="A17" s="5" t="s">
        <v>54</v>
      </c>
      <c r="B17" s="6" t="s">
        <v>128</v>
      </c>
      <c r="C17" s="30">
        <v>1.4600000000000001E-5</v>
      </c>
      <c r="D17" s="30">
        <v>1.4600000000000001E-5</v>
      </c>
      <c r="E17" s="30">
        <v>1.4600000000000001E-5</v>
      </c>
    </row>
    <row r="18" spans="1:5" x14ac:dyDescent="0.4">
      <c r="A18" s="5" t="s">
        <v>55</v>
      </c>
      <c r="B18" s="6" t="s">
        <v>129</v>
      </c>
      <c r="C18" s="30">
        <v>1.7499999999999998E-5</v>
      </c>
      <c r="D18" s="30">
        <v>1.7499999999999998E-5</v>
      </c>
      <c r="E18" s="30">
        <v>1.7499999999999998E-5</v>
      </c>
    </row>
    <row r="19" spans="1:5" x14ac:dyDescent="0.4">
      <c r="A19" s="6" t="s">
        <v>56</v>
      </c>
      <c r="B19" s="6" t="s">
        <v>130</v>
      </c>
      <c r="C19" s="31">
        <f>C17*C9+C18*C10</f>
        <v>1.6223999999999999E-5</v>
      </c>
      <c r="D19" s="31">
        <f>D17*D9+D18*D10</f>
        <v>1.6223999999999999E-5</v>
      </c>
      <c r="E19" s="31">
        <f>E17*E9+E18*E10</f>
        <v>1.6223999999999999E-5</v>
      </c>
    </row>
    <row r="20" spans="1:5" x14ac:dyDescent="0.4">
      <c r="A20" s="5" t="s">
        <v>57</v>
      </c>
      <c r="B20" s="6" t="s">
        <v>58</v>
      </c>
      <c r="C20" s="7">
        <v>411.4</v>
      </c>
      <c r="D20" s="7">
        <v>411.4</v>
      </c>
      <c r="E20" s="7">
        <v>411.4</v>
      </c>
    </row>
    <row r="21" spans="1:5" x14ac:dyDescent="0.4">
      <c r="A21" s="5" t="s">
        <v>59</v>
      </c>
      <c r="B21" s="6" t="s">
        <v>131</v>
      </c>
      <c r="C21" s="7">
        <v>0.84426034000000005</v>
      </c>
      <c r="D21" s="7">
        <v>0.84426034000000005</v>
      </c>
      <c r="E21" s="7">
        <v>0.84426034000000005</v>
      </c>
    </row>
    <row r="22" spans="1:5" x14ac:dyDescent="0.4">
      <c r="A22" s="5" t="s">
        <v>60</v>
      </c>
      <c r="B22" s="6" t="s">
        <v>132</v>
      </c>
      <c r="C22" s="7">
        <v>1.0413669560000001</v>
      </c>
      <c r="D22" s="7">
        <v>1.0413669560000001</v>
      </c>
      <c r="E22" s="7">
        <v>1.0413669560000001</v>
      </c>
    </row>
    <row r="23" spans="1:5" x14ac:dyDescent="0.4">
      <c r="A23" s="6" t="s">
        <v>61</v>
      </c>
      <c r="B23" s="6" t="s">
        <v>133</v>
      </c>
      <c r="C23" s="8">
        <f>C21*C9+C22*C10</f>
        <v>0.9546400449600001</v>
      </c>
      <c r="D23" s="8">
        <f>D21*D9+D22*D10</f>
        <v>0.9546400449600001</v>
      </c>
      <c r="E23" s="8">
        <f>E21*E9+E22*E10</f>
        <v>0.9546400449600001</v>
      </c>
    </row>
    <row r="24" spans="1:5" x14ac:dyDescent="0.4">
      <c r="A24" s="6" t="s">
        <v>62</v>
      </c>
      <c r="B24" s="6" t="s">
        <v>134</v>
      </c>
      <c r="C24" s="8">
        <f>C23*(C3/22.4*C2*60/1000 + C5/22.4*C4*60/1000)</f>
        <v>4.4799893538480005</v>
      </c>
      <c r="D24" s="8">
        <f>D23*(D3/22.4*D2*60/1000 + D5/22.4*D4*60/1000)</f>
        <v>4.4799893538480005</v>
      </c>
      <c r="E24" s="8">
        <f>E23*(E3/22.4*E2*60/1000 + E5/22.4*E4*60/1000)</f>
        <v>4.4799893538480005</v>
      </c>
    </row>
    <row r="25" spans="1:5" x14ac:dyDescent="0.4">
      <c r="A25" s="5" t="s">
        <v>63</v>
      </c>
      <c r="B25" s="6" t="s">
        <v>135</v>
      </c>
      <c r="C25" s="9">
        <v>700</v>
      </c>
      <c r="D25" s="9">
        <v>700</v>
      </c>
      <c r="E25" s="9">
        <v>700</v>
      </c>
    </row>
    <row r="26" spans="1:5" x14ac:dyDescent="0.4">
      <c r="A26" s="5" t="s">
        <v>64</v>
      </c>
      <c r="B26" s="6" t="s">
        <v>136</v>
      </c>
      <c r="C26" s="7">
        <v>642.9</v>
      </c>
      <c r="D26" s="7">
        <v>642.9</v>
      </c>
      <c r="E26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C17" sqref="C17"/>
    </sheetView>
  </sheetViews>
  <sheetFormatPr defaultRowHeight="18.75" x14ac:dyDescent="0.4"/>
  <cols>
    <col min="1" max="1" width="27.25" customWidth="1"/>
    <col min="2" max="2" width="17" customWidth="1"/>
    <col min="3" max="3" width="17.375" customWidth="1"/>
    <col min="4" max="4" width="15" customWidth="1"/>
    <col min="5" max="5" width="17" customWidth="1"/>
  </cols>
  <sheetData>
    <row r="1" spans="1:5" x14ac:dyDescent="0.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4">
      <c r="A5" s="6" t="s">
        <v>25</v>
      </c>
      <c r="B5" s="6" t="s">
        <v>137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4">
      <c r="A6" s="6" t="s">
        <v>26</v>
      </c>
      <c r="B6" s="6" t="s">
        <v>138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4">
      <c r="A7" s="6" t="s">
        <v>27</v>
      </c>
      <c r="B7" s="6" t="s">
        <v>139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4">
      <c r="A8" s="5" t="s">
        <v>28</v>
      </c>
      <c r="B8" s="6" t="s">
        <v>140</v>
      </c>
      <c r="C8" s="7">
        <v>7.93</v>
      </c>
      <c r="D8" s="7">
        <v>7.93</v>
      </c>
      <c r="E8" s="7">
        <v>7.93</v>
      </c>
    </row>
    <row r="9" spans="1:5" x14ac:dyDescent="0.4">
      <c r="A9" s="6" t="s">
        <v>29</v>
      </c>
      <c r="B9" s="6" t="s">
        <v>141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4">
      <c r="A10" s="5" t="s">
        <v>30</v>
      </c>
      <c r="B10" s="6" t="s">
        <v>142</v>
      </c>
      <c r="C10" s="7">
        <v>0.59</v>
      </c>
      <c r="D10" s="7">
        <v>0.59</v>
      </c>
      <c r="E10" s="7">
        <v>0.59</v>
      </c>
    </row>
    <row r="11" spans="1:5" x14ac:dyDescent="0.4">
      <c r="A11" s="5" t="s">
        <v>31</v>
      </c>
      <c r="B11" s="6" t="s">
        <v>143</v>
      </c>
      <c r="C11" s="7">
        <v>16.7</v>
      </c>
      <c r="D11" s="7">
        <v>16.7</v>
      </c>
      <c r="E11" s="7">
        <v>16.7</v>
      </c>
    </row>
    <row r="12" spans="1:5" x14ac:dyDescent="0.4">
      <c r="A12" s="6" t="s">
        <v>32</v>
      </c>
      <c r="B12" s="6" t="s">
        <v>144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4">
      <c r="A13" s="5" t="s">
        <v>33</v>
      </c>
      <c r="B13" s="6" t="s">
        <v>145</v>
      </c>
      <c r="C13" s="9">
        <v>200</v>
      </c>
      <c r="D13" s="9">
        <v>200</v>
      </c>
      <c r="E13" s="9">
        <v>200</v>
      </c>
    </row>
    <row r="14" spans="1:5" x14ac:dyDescent="0.4">
      <c r="A14" s="5" t="s">
        <v>34</v>
      </c>
      <c r="B14" s="6" t="s">
        <v>146</v>
      </c>
      <c r="C14" s="9">
        <v>18</v>
      </c>
      <c r="D14" s="9">
        <v>16</v>
      </c>
      <c r="E14" s="9">
        <v>15</v>
      </c>
    </row>
    <row r="15" spans="1:5" x14ac:dyDescent="0.4">
      <c r="A15" s="5" t="s">
        <v>35</v>
      </c>
      <c r="B15" s="6" t="s">
        <v>147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H17" sqref="H17"/>
    </sheetView>
  </sheetViews>
  <sheetFormatPr defaultRowHeight="18.75" x14ac:dyDescent="0.4"/>
  <cols>
    <col min="1" max="1" width="27.25" bestFit="1" customWidth="1"/>
    <col min="2" max="2" width="15.375" customWidth="1"/>
    <col min="3" max="3" width="13.875" customWidth="1"/>
    <col min="4" max="4" width="11.25" customWidth="1"/>
    <col min="5" max="5" width="12.375" customWidth="1"/>
  </cols>
  <sheetData>
    <row r="1" spans="1:5" x14ac:dyDescent="0.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148</v>
      </c>
      <c r="B2" s="15" t="s">
        <v>164</v>
      </c>
      <c r="C2" s="23">
        <v>280</v>
      </c>
      <c r="D2" s="23">
        <v>280</v>
      </c>
      <c r="E2" s="23">
        <v>280</v>
      </c>
    </row>
    <row r="3" spans="1:5" x14ac:dyDescent="0.4">
      <c r="A3" s="5" t="s">
        <v>149</v>
      </c>
      <c r="B3" s="6" t="s">
        <v>165</v>
      </c>
      <c r="C3" s="9">
        <v>22</v>
      </c>
      <c r="D3" s="9">
        <v>22</v>
      </c>
      <c r="E3" s="9">
        <v>22</v>
      </c>
    </row>
    <row r="4" spans="1:5" x14ac:dyDescent="0.4">
      <c r="A4" s="5" t="s">
        <v>150</v>
      </c>
      <c r="B4" s="6" t="s">
        <v>166</v>
      </c>
      <c r="C4" s="9">
        <v>34</v>
      </c>
      <c r="D4" s="9">
        <v>34</v>
      </c>
      <c r="E4" s="9">
        <v>34</v>
      </c>
    </row>
    <row r="5" spans="1:5" x14ac:dyDescent="0.4">
      <c r="A5" s="6" t="s">
        <v>151</v>
      </c>
      <c r="B5" s="6" t="s">
        <v>167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4">
      <c r="A6" s="6" t="s">
        <v>152</v>
      </c>
      <c r="B6" s="6" t="s">
        <v>168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4">
      <c r="A7" s="5" t="s">
        <v>153</v>
      </c>
      <c r="B7" s="6" t="s">
        <v>169</v>
      </c>
      <c r="C7" s="9">
        <v>165</v>
      </c>
      <c r="D7" s="9">
        <v>165</v>
      </c>
      <c r="E7" s="9">
        <v>165</v>
      </c>
    </row>
    <row r="8" spans="1:5" x14ac:dyDescent="0.4">
      <c r="A8" s="6" t="s">
        <v>154</v>
      </c>
      <c r="B8" s="6" t="s">
        <v>170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155</v>
      </c>
      <c r="B9" s="6" t="s">
        <v>171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625" defaultRowHeight="18.75" x14ac:dyDescent="0.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125" style="24" customWidth="1"/>
    <col min="6" max="16384" width="8.625" style="24"/>
  </cols>
  <sheetData>
    <row r="1" spans="1:5" x14ac:dyDescent="0.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156</v>
      </c>
      <c r="B2" s="15" t="s">
        <v>164</v>
      </c>
      <c r="C2" s="9">
        <v>280</v>
      </c>
      <c r="D2" s="9">
        <v>280</v>
      </c>
      <c r="E2" s="9">
        <v>280</v>
      </c>
    </row>
    <row r="3" spans="1:5" x14ac:dyDescent="0.4">
      <c r="A3" s="5" t="s">
        <v>157</v>
      </c>
      <c r="B3" s="6" t="s">
        <v>165</v>
      </c>
      <c r="C3" s="9">
        <v>22</v>
      </c>
      <c r="D3" s="9">
        <v>22</v>
      </c>
      <c r="E3" s="9">
        <v>22</v>
      </c>
    </row>
    <row r="4" spans="1:5" x14ac:dyDescent="0.4">
      <c r="A4" s="5" t="s">
        <v>158</v>
      </c>
      <c r="B4" s="6" t="s">
        <v>166</v>
      </c>
      <c r="C4" s="7">
        <v>60.5</v>
      </c>
      <c r="D4" s="7">
        <v>60.5</v>
      </c>
      <c r="E4" s="7">
        <v>60.5</v>
      </c>
    </row>
    <row r="5" spans="1:5" x14ac:dyDescent="0.4">
      <c r="A5" s="6" t="s">
        <v>159</v>
      </c>
      <c r="B5" s="6" t="s">
        <v>167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4">
      <c r="A6" s="6" t="s">
        <v>160</v>
      </c>
      <c r="B6" s="6" t="s">
        <v>168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4">
      <c r="A7" s="5" t="s">
        <v>161</v>
      </c>
      <c r="B7" s="6" t="s">
        <v>169</v>
      </c>
      <c r="C7" s="9">
        <v>165</v>
      </c>
      <c r="D7" s="9">
        <v>165</v>
      </c>
      <c r="E7" s="9">
        <v>165</v>
      </c>
    </row>
    <row r="8" spans="1:5" x14ac:dyDescent="0.4">
      <c r="A8" s="6" t="s">
        <v>162</v>
      </c>
      <c r="B8" s="6" t="s">
        <v>170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163</v>
      </c>
      <c r="B9" s="6" t="s">
        <v>171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.75" x14ac:dyDescent="0.4"/>
  <cols>
    <col min="1" max="1" width="25.75" bestFit="1" customWidth="1"/>
    <col min="2" max="2" width="29.875" bestFit="1" customWidth="1"/>
    <col min="3" max="3" width="11.625" customWidth="1"/>
    <col min="4" max="4" width="12.125" customWidth="1"/>
    <col min="5" max="5" width="13.125" customWidth="1"/>
  </cols>
  <sheetData>
    <row r="1" spans="1:5" x14ac:dyDescent="0.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66</v>
      </c>
      <c r="B2" s="15" t="s">
        <v>174</v>
      </c>
      <c r="C2" s="9">
        <v>2</v>
      </c>
      <c r="D2" s="9">
        <v>2</v>
      </c>
      <c r="E2" s="9">
        <v>2</v>
      </c>
    </row>
    <row r="3" spans="1:5" x14ac:dyDescent="0.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4">
      <c r="A4" s="6" t="s">
        <v>68</v>
      </c>
      <c r="B4" s="6" t="s">
        <v>175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4">
      <c r="A6" s="5" t="s">
        <v>70</v>
      </c>
      <c r="B6" s="6" t="s">
        <v>176</v>
      </c>
      <c r="C6" s="9">
        <v>1</v>
      </c>
      <c r="D6" s="9">
        <v>1</v>
      </c>
      <c r="E6" s="9">
        <v>1</v>
      </c>
    </row>
    <row r="7" spans="1:5" x14ac:dyDescent="0.4">
      <c r="A7" s="34" t="s">
        <v>172</v>
      </c>
      <c r="B7" s="6" t="s">
        <v>177</v>
      </c>
      <c r="C7" s="11">
        <v>1E-3</v>
      </c>
      <c r="D7" s="11">
        <v>1E-3</v>
      </c>
      <c r="E7" s="11">
        <v>3.0000000000000001E-3</v>
      </c>
    </row>
    <row r="8" spans="1:5" x14ac:dyDescent="0.4">
      <c r="A8" s="34" t="s">
        <v>173</v>
      </c>
      <c r="B8" s="6" t="s">
        <v>178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6"/>
  <sheetViews>
    <sheetView workbookViewId="0">
      <selection activeCell="B9" sqref="B9"/>
    </sheetView>
  </sheetViews>
  <sheetFormatPr defaultRowHeight="18.75" x14ac:dyDescent="0.4"/>
  <cols>
    <col min="1" max="1" width="26.625" customWidth="1"/>
    <col min="2" max="2" width="20.375" customWidth="1"/>
    <col min="3" max="3" width="12.25" customWidth="1"/>
    <col min="4" max="4" width="11.625" customWidth="1"/>
    <col min="5" max="5" width="11.375" customWidth="1"/>
  </cols>
  <sheetData>
    <row r="1" spans="1:5" x14ac:dyDescent="0.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72</v>
      </c>
      <c r="B2" s="15" t="s">
        <v>174</v>
      </c>
      <c r="C2" s="9">
        <v>2</v>
      </c>
      <c r="D2" s="9">
        <v>2</v>
      </c>
      <c r="E2" s="9">
        <v>2</v>
      </c>
    </row>
    <row r="3" spans="1:5" x14ac:dyDescent="0.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4">
      <c r="A4" s="6" t="s">
        <v>74</v>
      </c>
      <c r="B4" s="6" t="s">
        <v>175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4">
      <c r="A6" s="6" t="s">
        <v>76</v>
      </c>
      <c r="B6" s="6" t="s">
        <v>179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.75" x14ac:dyDescent="0.4"/>
  <cols>
    <col min="1" max="1" width="20.625" customWidth="1"/>
    <col min="2" max="2" width="21.625" customWidth="1"/>
  </cols>
  <sheetData>
    <row r="1" spans="1:5" x14ac:dyDescent="0.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78</v>
      </c>
      <c r="B2" s="15" t="s">
        <v>180</v>
      </c>
      <c r="C2" s="7">
        <v>0.4</v>
      </c>
      <c r="D2" s="7">
        <v>0.4</v>
      </c>
      <c r="E2" s="7">
        <v>0.4</v>
      </c>
    </row>
    <row r="3" spans="1:5" x14ac:dyDescent="0.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4">
      <c r="A4" s="5" t="s">
        <v>81</v>
      </c>
      <c r="B4" s="6" t="s">
        <v>181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2025-06-07T13:40:51Z</dcterms:modified>
</cp:coreProperties>
</file>